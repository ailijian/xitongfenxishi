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830bc5bd0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冲刺总览" sheetId="1" r:id="R0325f066f6fc45e9"/>
    <x:sheet xmlns:r="http://schemas.openxmlformats.org/officeDocument/2006/relationships" name="7天计划" sheetId="2" r:id="Raf5107c062394267"/>
    <x:sheet xmlns:r="http://schemas.openxmlformats.org/officeDocument/2006/relationships" name="章节训练75" sheetId="3" r:id="R6aacad9bb16f4cee"/>
    <x:sheet xmlns:r="http://schemas.openxmlformats.org/officeDocument/2006/relationships" name="综合模考75" sheetId="4" r:id="R035eac3d0b074ec6"/>
    <x:sheet xmlns:r="http://schemas.openxmlformats.org/officeDocument/2006/relationships" name="答案与解析" sheetId="5" r:id="R9a743a5260bc460f"/>
    <x:sheet xmlns:r="http://schemas.openxmlformats.org/officeDocument/2006/relationships" name="必背清单76" sheetId="6" r:id="R00308ec5aa9f4b2b"/>
    <x:sheet xmlns:r="http://schemas.openxmlformats.org/officeDocument/2006/relationships" name="案例训练9套" sheetId="7" r:id="Rc55e04b259e844bb"/>
    <x:sheet xmlns:r="http://schemas.openxmlformats.org/officeDocument/2006/relationships" name="论文训练10题" sheetId="8" r:id="Re1cdc2b72cb741ad"/>
    <x:sheet xmlns:r="http://schemas.openxmlformats.org/officeDocument/2006/relationships" name="资料来源" sheetId="9" r:id="Rebcfb3296a8d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0">
    <x:font>
      <x:sz val="11"/>
      <x:name val="Carlito"/>
    </x:font>
    <x:font>
      <x:b/>
      <x:sz val="17"/>
      <x:color rgb="FFFFFFFF"/>
      <x:name val="Carlito"/>
    </x:font>
    <x:font>
      <x:sz val="10"/>
      <x:color rgb="FF28536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176645"/>
      <x:name val="Carlito"/>
    </x:font>
    <x:font>
      <x:b/>
      <x:sz val="11"/>
      <x:color rgb="FF8D4706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2363A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5283F"/>
      </x:patternFill>
    </x:fill>
    <x:fill>
      <x:patternFill patternType="solid">
        <x:fgColor rgb="FFEAF4F6"/>
      </x:patternFill>
    </x:fill>
    <x:fill>
      <x:patternFill patternType="solid">
        <x:fgColor rgb="FF137B81"/>
      </x:patternFill>
    </x:fill>
    <x:fill>
      <x:patternFill patternType="solid">
        <x:fgColor rgb="FFE1F4EC"/>
      </x:patternFill>
    </x:fill>
    <x:fill>
      <x:patternFill patternType="solid">
        <x:fgColor rgb="FFFFF2E2"/>
      </x:patternFill>
    </x:fill>
    <x:fill>
      <x:patternFill patternType="solid">
        <x:fgColor rgb="FFF1F5F9"/>
      </x:patternFill>
    </x:fill>
    <x:fill>
      <x:patternFill patternType="solid">
        <x:fgColor rgb="FFFFF2DA"/>
      </x:patternFill>
    </x:fill>
    <x:fill>
      <x:patternFill patternType="solid">
        <x:fgColor rgb="FFFEF9C3"/>
      </x:patternFill>
    </x:fill>
    <x:fill>
      <x:patternFill patternType="solid">
        <x:fgColor rgb="FFF9FAFB"/>
      </x:patternFill>
    </x:fill>
    <x:fill>
      <x:patternFill patternType="solid">
        <x:fgColor rgb="FFE5F3FF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8" fillId="11" borderId="1" xfId="0" applyNumberFormat="1" applyFont="1" applyFill="1" applyBorder="1" applyAlignment="1">
      <x:alignment vertical="center" wrapText="1"/>
    </x:xf>
    <x:xf numFmtId="0" fontId="9" fillId="11" borderId="1" xfId="0" applyNumberFormat="1" applyFont="1" applyFill="1" applyBorder="1" applyAlignment="1">
      <x:alignment vertical="center" wrapText="1"/>
    </x:xf>
    <x:xf numFmtId="0" fontId="9" fillId="11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E1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1047f764d4799" /><Relationship Type="http://schemas.openxmlformats.org/officeDocument/2006/relationships/theme" Target="/xl/theme/theme1.xml" Id="R252d7e63318c46ad" /><Relationship Type="http://schemas.openxmlformats.org/officeDocument/2006/relationships/sharedStrings" Target="/xl/sharedStrings.xml" Id="R9b9a98e102d74635" /><Relationship Type="http://schemas.openxmlformats.org/officeDocument/2006/relationships/worksheet" Target="/xl/worksheets/sheet1.xml" Id="R0325f066f6fc45e9" /><Relationship Type="http://schemas.openxmlformats.org/officeDocument/2006/relationships/worksheet" Target="/xl/worksheets/sheet2.xml" Id="Raf5107c062394267" /><Relationship Type="http://schemas.openxmlformats.org/officeDocument/2006/relationships/worksheet" Target="/xl/worksheets/sheet3.xml" Id="R6aacad9bb16f4cee" /><Relationship Type="http://schemas.openxmlformats.org/officeDocument/2006/relationships/worksheet" Target="/xl/worksheets/sheet4.xml" Id="R035eac3d0b074ec6" /><Relationship Type="http://schemas.openxmlformats.org/officeDocument/2006/relationships/worksheet" Target="/xl/worksheets/sheet5.xml" Id="R9a743a5260bc460f" /><Relationship Type="http://schemas.openxmlformats.org/officeDocument/2006/relationships/worksheet" Target="/xl/worksheets/sheet6.xml" Id="R00308ec5aa9f4b2b" /><Relationship Type="http://schemas.openxmlformats.org/officeDocument/2006/relationships/worksheet" Target="/xl/worksheets/sheet7.xml" Id="Rc55e04b259e844bb" /><Relationship Type="http://schemas.openxmlformats.org/officeDocument/2006/relationships/worksheet" Target="/xl/worksheets/sheet8.xml" Id="Re1cdc2b72cb741ad" /><Relationship Type="http://schemas.openxmlformats.org/officeDocument/2006/relationships/worksheet" Target="/xl/worksheets/sheet9.xml" Id="Rebcfb3296a8d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23" hidden="0" customWidth="1"/>
    <x:col min="4" max="4" width="50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4" customHeight="1">
      <x:c r="A1" s="4" t="str">
        <x:v>系统分析师 · 2026上海下半年｜冲刺驾驶舱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1" t="str">
        <x:v>正版大纲校验｜7天核心冲刺 2026-10-11 至 10-17｜考试：10月24—25日（以准考证批次为准）</x:v>
      </x:c>
      <x:c r="B2" s="11"/>
      <x:c r="C2" s="11"/>
      <x:c r="D2" s="11"/>
      <x:c r="E2" s="11"/>
      <x:c r="F2" s="11"/>
      <x:c r="G2" s="11"/>
      <x:c r="H2" s="11"/>
    </x:row>
    <x:row r="3">
      <x:c r="A3" t="str"/>
    </x:row>
    <x:row r="4" ht="28" customHeight="1">
      <x:c r="A4" s="17" t="str">
        <x:v>项目</x:v>
      </x:c>
      <x:c r="B4" s="17" t="str">
        <x:v>当前数据</x:v>
      </x:c>
      <x:c r="C4" s="17" t="str">
        <x:v>建议/目标</x:v>
      </x:c>
      <x:c r="D4" s="17" t="str">
        <x:v>备注</x:v>
      </x:c>
      <x:c r="E4" s="17" t="str"/>
      <x:c r="F4" s="17" t="str"/>
      <x:c r="G4" s="17" t="str"/>
      <x:c r="H4" s="17" t="str"/>
    </x:row>
    <x:row r="5" ht="30" customHeight="1">
      <x:c r="A5" s="22" t="str">
        <x:v>考试日期</x:v>
      </x:c>
      <x:c r="B5" s="26" t="str">
        <x:v>2026-10-24/25</x:v>
      </x:c>
      <x:c r="C5" t="str">
        <x:v>以上海准考证为准</x:v>
      </x:c>
      <x:c r="D5" t="str">
        <x:v>全程机考；高级三科当次全过</x:v>
      </x:c>
    </x:row>
    <x:row r="6" ht="30" customHeight="1">
      <x:c r="A6" s="22" t="str">
        <x:v>训练题作答数</x:v>
      </x:c>
      <x:c r="B6" s="26" t="n">
        <x:f>COUNTA('章节训练75'!I5:I79)</x:f>
        <x:v>0</x:v>
      </x:c>
      <x:c r="C6" t="str">
        <x:v>75道</x:v>
      </x:c>
      <x:c r="D6" t="str">
        <x:v>题目与答案解析分开</x:v>
      </x:c>
    </x:row>
    <x:row r="7" ht="30" customHeight="1">
      <x:c r="A7" s="22" t="str">
        <x:v>章节训练正确数</x:v>
      </x:c>
      <x:c r="B7" s="26" t="n">
        <x:f>SUM('章节训练75'!J5:J79)</x:f>
        <x:v>0</x:v>
      </x:c>
      <x:c r="C7" t="str">
        <x:v>建议≥53/75</x:v>
      </x:c>
      <x:c r="D7" t="str">
        <x:v>已答题正确数，不等于整卷得分</x:v>
      </x:c>
    </x:row>
    <x:row r="8" ht="30" customHeight="1">
      <x:c r="A8" s="22" t="str">
        <x:v>章节训练正确率</x:v>
      </x:c>
      <x:c r="B8" s="27" t="str">
        <x:f>IF(B6=0,"",B7/B6)</x:f>
      </x:c>
      <x:c r="C8" t="str">
        <x:v>建议≥70%</x:v>
      </x:c>
      <x:c r="D8" t="str">
        <x:v>B列为动态公式</x:v>
      </x:c>
    </x:row>
    <x:row r="9" ht="30" customHeight="1">
      <x:c r="A9" s="22" t="str">
        <x:v>综合模拟作答数</x:v>
      </x:c>
      <x:c r="B9" s="26" t="n">
        <x:f>COUNTA('综合模考75'!I5:I79)</x:f>
        <x:v>0</x:v>
      </x:c>
      <x:c r="C9" t="str">
        <x:v>75道</x:v>
      </x:c>
      <x:c r="D9" t="str">
        <x:v>模拟请按150分钟限时完成</x:v>
      </x:c>
    </x:row>
    <x:row r="10" ht="30" customHeight="1">
      <x:c r="A10" s="22" t="str">
        <x:v>综合模拟成绩</x:v>
      </x:c>
      <x:c r="B10" s="26" t="n">
        <x:f>SUM('综合模考75'!J5:J79)</x:f>
        <x:v>0</x:v>
      </x:c>
      <x:c r="C10" t="str">
        <x:v>建议≥53/75</x:v>
      </x:c>
      <x:c r="D10" t="str">
        <x:v>45分为合格线</x:v>
      </x:c>
    </x:row>
    <x:row r="11" ht="30" customHeight="1">
      <x:c r="A11" s="22" t="str">
        <x:v>综合模拟正确率</x:v>
      </x:c>
      <x:c r="B11" s="27" t="str">
        <x:f>IF(B9=0,"",B10/B9)</x:f>
      </x:c>
      <x:c r="C11" t="str">
        <x:v>建议≥70%</x:v>
      </x:c>
      <x:c r="D11" t="str">
        <x:v>仅在作答后生效</x:v>
      </x:c>
    </x:row>
    <x:row r="12" ht="30" customHeight="1">
      <x:c r="A12" s="22" t="str">
        <x:v>学习天数完成数</x:v>
      </x:c>
      <x:c r="B12" s="26" t="n">
        <x:f>COUNTIF('7天计划'!H5:H11,"完成")</x:f>
        <x:v>0</x:v>
      </x:c>
      <x:c r="C12" t="str">
        <x:v>7/7</x:v>
      </x:c>
      <x:c r="D12" t="str">
        <x:v>在7天计划H列选择“完成”</x:v>
      </x:c>
    </x:row>
    <x:row r="13" ht="30" customHeight="1">
      <x:c r="A13" s="22" t="str">
        <x:v>必背知识已掌握</x:v>
      </x:c>
      <x:c r="B13" s="26" t="n">
        <x:f>COUNTIF('必背清单76'!F5:F80,"已掌握")</x:f>
        <x:v>0</x:v>
      </x:c>
      <x:c r="C13" t="str">
        <x:v>76条</x:v>
      </x:c>
      <x:c r="D13" t="str">
        <x:v>在必背清单F列标注</x:v>
      </x:c>
    </x:row>
    <x:row r="14" ht="30" customHeight="1">
      <x:c r="A14" s="22" t="str">
        <x:v>论文完成篇数</x:v>
      </x:c>
      <x:c r="B14" s="26" t="n">
        <x:f>COUNTIF('论文训练10题'!H5:H14,"已完成")</x:f>
        <x:v>0</x:v>
      </x:c>
      <x:c r="C14" t="str">
        <x:v>至少2篇</x:v>
      </x:c>
      <x:c r="D14" t="str">
        <x:v>在论文训练H列标注</x:v>
      </x:c>
    </x:row>
    <x:row r="16" ht="33" customHeight="1">
      <x:c r="A16" s="34" t="str">
        <x:v>考试策略｜先确保案例与论文不掉线：综合≥53，案例≥50，论文≥50（训练目标，不构成成绩保证）</x:v>
      </x:c>
      <x:c r="B16" s="34"/>
      <x:c r="C16" s="34"/>
      <x:c r="D16" s="34"/>
      <x:c r="E16" s="34"/>
      <x:c r="F16" s="34"/>
      <x:c r="G16" s="34"/>
      <x:c r="H16" s="34"/>
    </x:row>
    <x:row r="18" ht="32" customHeight="1">
      <x:c r="A18" s="38" t="str">
        <x:v>作答指南：在“章节训练75 / 综合模考75”的 I 列输入 A/B/C/D，K列自动显示对错；去“答案与解析”复盘，再记录错题备注。</x:v>
      </x:c>
      <x:c r="B18" s="38"/>
      <x:c r="C18" s="38"/>
      <x:c r="D18" s="38"/>
      <x:c r="E18" s="38"/>
      <x:c r="F18" s="38"/>
      <x:c r="G18" s="38"/>
      <x:c r="H18" s="38"/>
    </x:row>
    <x:row r="20" ht="32" customHeight="1">
      <x:c r="A20" s="41" t="str">
        <x:v>题库声明：150题为按新版考试范围独立编写的原创模拟题，非官方真题；资料来源页提供近年真题入口，部分网站需登录/付费。</x:v>
      </x:c>
      <x:c r="B20" s="41"/>
      <x:c r="C20" s="41"/>
      <x:c r="D20" s="41"/>
      <x:c r="E20" s="41"/>
      <x:c r="F20" s="41"/>
      <x:c r="G20" s="41"/>
      <x:c r="H20" s="41"/>
    </x:row>
  </x:sheetData>
  <x:mergeCells>
    <x:mergeCell ref="A1:H1"/>
    <x:mergeCell ref="A2:H2"/>
    <x:mergeCell ref="A16:H16"/>
    <x:mergeCell ref="A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8" hidden="0" customWidth="1"/>
    <x:col min="3" max="3" width="25" hidden="0" customWidth="1"/>
    <x:col min="4" max="4" width="90" hidden="0" customWidth="1"/>
    <x:col min="5" max="5" width="48" hidden="0" customWidth="1"/>
    <x:col min="6" max="6" width="42" hidden="0" customWidth="1"/>
    <x:col min="7" max="7" width="15" hidden="0" customWidth="1"/>
    <x:col min="8" max="8" width="16" hidden="0" customWidth="1"/>
    <x:col min="9" max="9" width="18" hidden="0" customWidth="1"/>
  </x:cols>
  <x:sheetData>
    <x:row r="1" ht="34" customHeight="1">
      <x:c r="A1" s="4" t="str">
        <x:v>7天冲刺｜每日执行表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11" t="str">
        <x:v>以每天约7—8小时设计；时间不足时保留“选择题+案例+论文”三项而非只看视频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t="str"/>
    </x:row>
    <x:row r="4" ht="29" customHeight="1">
      <x:c r="A4" s="46" t="str">
        <x:v>日期</x:v>
      </x:c>
      <x:c r="B4" s="46" t="str">
        <x:v>DAY</x:v>
      </x:c>
      <x:c r="C4" s="46" t="str">
        <x:v>当天主攻</x:v>
      </x:c>
      <x:c r="D4" s="46" t="str">
        <x:v>计划学习内容（按顺序）</x:v>
      </x:c>
      <x:c r="E4" s="46" t="str">
        <x:v>必须交付</x:v>
      </x:c>
      <x:c r="F4" s="46" t="str">
        <x:v>过关指标</x:v>
      </x:c>
      <x:c r="G4" s="46" t="str">
        <x:v>计划时长/h</x:v>
      </x:c>
      <x:c r="H4" s="46" t="str">
        <x:v>执行状态</x:v>
      </x:c>
      <x:c r="I4" s="46" t="str">
        <x:v>实际学习/h</x:v>
      </x:c>
    </x:row>
    <x:row r="5" ht="95" customHeight="1">
      <x:c r="A5" s="54" t="str">
        <x:v>2026-10-11</x:v>
      </x:c>
      <x:c r="B5" s="54" t="str">
        <x:v>D1</x:v>
      </x:c>
      <x:c r="C5" s="54" t="str">
        <x:v>摸底+需求工程/UML</x:v>
      </x:c>
      <x:c r="D5" s="54" t="str">
        <x:v>40分钟做15题摸底；2小时学需求类型/追踪/变更；2小时用例图、顺序图、活动图、DFD；1小时章节题；1小时写案例1；20分钟错题卡</x:v>
      </x:c>
      <x:c r="E5" s="54" t="str">
        <x:v>写出3种UML图的用途；能区分include/extend；完成案例1</x:v>
      </x:c>
      <x:c r="F5" s="54" t="str">
        <x:v>章节正确率≥65%；案例1命中≥15/25</x:v>
      </x:c>
      <x:c r="G5" s="54" t="n">
        <x:v>7</x:v>
      </x:c>
      <x:c r="H5" s="56" t="str">
        <x:v>未开始</x:v>
      </x:c>
      <x:c r="I5" s="58"/>
    </x:row>
    <x:row r="6" ht="95" customHeight="1">
      <x:c r="A6" s="54" t="str">
        <x:v>2026-10-12</x:v>
      </x:c>
      <x:c r="B6" s="54" t="str">
        <x:v>D2</x:v>
      </x:c>
      <x:c r="C6" s="54" t="str">
        <x:v>软件工程+架构/设计模式</x:v>
      </x:c>
      <x:c r="D6" s="54" t="str">
        <x:v>1小时开发模型与敏捷；2小时4+1视图/分层/事件驱动/微服务；1.5小时设计模式与典型场景；1小时章节题；1小时案例4；0.5小时论文项目素材</x:v>
      </x:c>
      <x:c r="E6" s="54" t="str">
        <x:v>口述10个模式适用场景；画出业务系统4层架构；案例4答题</x:v>
      </x:c>
      <x:c r="F6" s="54" t="str">
        <x:v>章节正确率≥70%；能解释高可用设计的取舍</x:v>
      </x:c>
      <x:c r="G6" s="54" t="n">
        <x:v>7</x:v>
      </x:c>
      <x:c r="H6" s="56" t="str">
        <x:v>未开始</x:v>
      </x:c>
      <x:c r="I6" s="58"/>
    </x:row>
    <x:row r="7" ht="95" customHeight="1">
      <x:c r="A7" s="54" t="str">
        <x:v>2026-10-13</x:v>
      </x:c>
      <x:c r="B7" s="54" t="str">
        <x:v>D3</x:v>
      </x:c>
      <x:c r="C7" s="54" t="str">
        <x:v>数据库+DFD+系统规划</x:v>
      </x:c>
      <x:c r="D7" s="54" t="str">
        <x:v>2小时范式/键/事务/SQL；1小时缓存与索引；1小时规划与NPV/EMV；1小时章节题；1.5小时案例2/3；0.5小时论文框架</x:v>
      </x:c>
      <x:c r="E7" s="54" t="str">
        <x:v>会辨别2NF/3NF/BCNF；能写GROUP BY/HAVING和JOIN；会DFD平衡</x:v>
      </x:c>
      <x:c r="F7" s="54" t="str">
        <x:v>数据库案例≥16/25；SQL正确率≥75%</x:v>
      </x:c>
      <x:c r="G7" s="54" t="n">
        <x:v>7</x:v>
      </x:c>
      <x:c r="H7" s="56" t="str">
        <x:v>未开始</x:v>
      </x:c>
      <x:c r="I7" s="58"/>
    </x:row>
    <x:row r="8" ht="95" customHeight="1">
      <x:c r="A8" s="54" t="str">
        <x:v>2026-10-14</x:v>
      </x:c>
      <x:c r="B8" s="54" t="str">
        <x:v>D4</x:v>
      </x:c>
      <x:c r="C8" s="54" t="str">
        <x:v>软件测试+质量+安全</x:v>
      </x:c>
      <x:c r="D8" s="54" t="str">
        <x:v>1.5小时测试设计与覆盖；1.5小时安全、权限、数据保护；1小时质量管理与CI；1小时章节题；1小时案例5/6；1.5小时论文限时首稿</x:v>
      </x:c>
      <x:c r="E8" s="54" t="str">
        <x:v>写出质量属性指标；完成测试与数据安全素材各1页</x:v>
      </x:c>
      <x:c r="F8" s="54" t="str">
        <x:v>论文写出≥1800字首稿并完成针对性改写</x:v>
      </x:c>
      <x:c r="G8" s="54" t="n">
        <x:v>7.5</x:v>
      </x:c>
      <x:c r="H8" s="56" t="str">
        <x:v>未开始</x:v>
      </x:c>
      <x:c r="I8" s="58"/>
    </x:row>
    <x:row r="9" ht="95" customHeight="1">
      <x:c r="A9" s="54" t="str">
        <x:v>2026-10-15</x:v>
      </x:c>
      <x:c r="B9" s="54" t="str">
        <x:v>D5</x:v>
      </x:c>
      <x:c r="C9" s="54" t="str">
        <x:v>分布式/云原生/AI+计算题</x:v>
      </x:c>
      <x:c r="D9" s="54" t="str">
        <x:v>1.5小时可靠性、幂等、CAP、队列；1小时容器/微服务/RAG/智能体；1小时数学与项目管理计算；1小时章节题；1.5小时案例7/8/9；1小时论文改稿</x:v>
      </x:c>
      <x:c r="E9" s="54" t="str">
        <x:v>背熟RPO/RTO、缓存一致性、可用性计算、EMV/NPV</x:v>
      </x:c>
      <x:c r="F9" s="54" t="str">
        <x:v>计算题正确率≥80%；案例限时25分钟能答完</x:v>
      </x:c>
      <x:c r="G9" s="54" t="n">
        <x:v>7</x:v>
      </x:c>
      <x:c r="H9" s="56" t="str">
        <x:v>未开始</x:v>
      </x:c>
      <x:c r="I9" s="58"/>
    </x:row>
    <x:row r="10" ht="95" customHeight="1">
      <x:c r="A10" s="54" t="str">
        <x:v>2026-10-16</x:v>
      </x:c>
      <x:c r="B10" s="54" t="str">
        <x:v>D6</x:v>
      </x:c>
      <x:c r="C10" s="54" t="str">
        <x:v>第一次完整模拟（严格计时）</x:v>
      </x:c>
      <x:c r="D10" s="54" t="str">
        <x:v>2.5小时综合模拟75题；1.5小时案例三题；2小时论文4选1；2小时复盘并分类错误</x:v>
      </x:c>
      <x:c r="E10" s="54" t="str">
        <x:v>形成三科模拟成绩和Top10错题；完成1篇完整论文</x:v>
      </x:c>
      <x:c r="F10" s="54" t="str">
        <x:v>选择题≥50/75；案例自评≥48/75；论文按核对清单≥50/75</x:v>
      </x:c>
      <x:c r="G10" s="54" t="n">
        <x:v>8</x:v>
      </x:c>
      <x:c r="H10" s="56" t="str">
        <x:v>未开始</x:v>
      </x:c>
      <x:c r="I10" s="58"/>
    </x:row>
    <x:row r="11" ht="95" customHeight="1">
      <x:c r="A11" s="54" t="str">
        <x:v>2026-10-17</x:v>
      </x:c>
      <x:c r="B11" s="54" t="str">
        <x:v>D7</x:v>
      </x:c>
      <x:c r="C11" s="54" t="str">
        <x:v>补弱项+二次演练+固化模板</x:v>
      </x:c>
      <x:c r="D11" s="54" t="str">
        <x:v>2小时只攻错题Top10；1小时背知识卡；1.5小时三道案例简答强化；1.5小时论文第二主题限时大纲+关键段；1小时考试策略和机考打字训练</x:v>
      </x:c>
      <x:c r="E11" s="54" t="str">
        <x:v>一页A4考前清单、两篇论文素材库、错题二刷</x:v>
      </x:c>
      <x:c r="F11" s="54" t="str">
        <x:v>错题二刷≥85%；任一论文题可10分钟成纲</x:v>
      </x:c>
      <x:c r="G11" s="54" t="n">
        <x:v>7</x:v>
      </x:c>
      <x:c r="H11" s="56" t="str">
        <x:v>未开始</x:v>
      </x:c>
      <x:c r="I11" s="58"/>
    </x:row>
    <x:row r="13" ht="28" customHeight="1">
      <x:c r="A13" s="60" t="str">
        <x:v>正式考试前剩余6天补强（10月18—23日）</x:v>
      </x:c>
      <x:c r="B13" s="60"/>
      <x:c r="C13" s="60"/>
      <x:c r="D13" s="60"/>
      <x:c r="E13" s="60"/>
      <x:c r="F13" s="60"/>
      <x:c r="G13" s="60"/>
      <x:c r="H13" s="60"/>
      <x:c r="I13" s="60"/>
    </x:row>
    <x:row r="14" ht="28" customHeight="1">
      <x:c r="A14" t="str">
        <x:v>2026-10-18</x:v>
      </x:c>
      <x:c r="B14" t="str">
        <x:v>二刷全部错题；对照新版大纲补洞；重点UML/需求</x:v>
      </x:c>
    </x:row>
    <x:row r="15" ht="28" customHeight="1">
      <x:c r="A15" t="str">
        <x:v>2026-10-19</x:v>
      </x:c>
      <x:c r="B15" t="str">
        <x:v>做2026年5月考生回忆版综合及案例，注意答案非官方</x:v>
      </x:c>
    </x:row>
    <x:row r="16" ht="28" customHeight="1">
      <x:c r="A16" t="str">
        <x:v>2026-10-20</x:v>
      </x:c>
      <x:c r="B16" t="str">
        <x:v>练SQL/范式/DFD+计量计算；精练一题案例</x:v>
      </x:c>
    </x:row>
    <x:row r="17" ht="28" customHeight="1">
      <x:c r="A17" t="str">
        <x:v>2026-10-21</x:v>
      </x:c>
      <x:c r="B17" t="str">
        <x:v>打印准考证开始；用键盘写论文完整开头与技术主体</x:v>
      </x:c>
    </x:row>
    <x:row r="18" ht="28" customHeight="1">
      <x:c r="A18" t="str">
        <x:v>2026-10-22</x:v>
      </x:c>
      <x:c r="B18" t="str">
        <x:v>对照论文4主题快速列提纲；默写20条必背公式与概念</x:v>
      </x:c>
    </x:row>
    <x:row r="19" ht="28" customHeight="1">
      <x:c r="A19" t="str">
        <x:v>2026-10-23</x:v>
      </x:c>
      <x:c r="B19" t="str">
        <x:v>打印准考证截止16:00；检查考点及证件；只看错题并保证睡眠</x:v>
      </x:c>
    </x:row>
  </x:sheetData>
  <x:mergeCells>
    <x:mergeCell ref="A1:I1"/>
    <x:mergeCell ref="A2:I2"/>
    <x:mergeCell ref="A13:I13"/>
    <x:mergeCell ref="B14:I14"/>
    <x:mergeCell ref="B15:I15"/>
    <x:mergeCell ref="B16:I16"/>
    <x:mergeCell ref="B17:I17"/>
    <x:mergeCell ref="B18:I18"/>
    <x:mergeCell ref="B19:I19"/>
  </x:mergeCells>
  <x:dataValidations count="1">
    <x:dataValidation type="list" sqref="H5:H11">
      <x:formula1>"未开始,进行中,完成"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57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17" hidden="0" customWidth="1"/>
    <x:col min="10" max="10" width="15" hidden="0" customWidth="1"/>
    <x:col min="11" max="11" width="15" hidden="0" customWidth="1"/>
    <x:col min="12" max="12" width="34" hidden="0" customWidth="1"/>
  </x:cols>
  <x:sheetData>
    <x:row r="1" ht="34" customHeight="1">
      <x:c r="A1" s="4" t="str">
        <x:v>章节训练75｜先学后练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11" t="str">
        <x:v>原创练习题：不计时可先按模块筛选；正确答案见“答案与解析”，I列填写A/B/C/D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t="str"/>
    </x:row>
    <x:row r="4" ht="29" customHeight="1">
      <x:c r="A4" s="46" t="str">
        <x:v>题号</x:v>
      </x:c>
      <x:c r="B4" s="46" t="str">
        <x:v>知识模块</x:v>
      </x:c>
      <x:c r="C4" s="46" t="str">
        <x:v>重要级</x:v>
      </x:c>
      <x:c r="D4" s="46" t="str">
        <x:v>原创单选题</x:v>
      </x:c>
      <x:c r="E4" s="46" t="str">
        <x:v>A</x:v>
      </x:c>
      <x:c r="F4" s="46" t="str">
        <x:v>B</x:v>
      </x:c>
      <x:c r="G4" s="46" t="str">
        <x:v>C</x:v>
      </x:c>
      <x:c r="H4" s="46" t="str">
        <x:v>D</x:v>
      </x:c>
      <x:c r="I4" s="46" t="str">
        <x:v>我的答案（选A-D）</x:v>
      </x:c>
      <x:c r="J4" s="46" t="str">
        <x:v>得分(1/0)</x:v>
      </x:c>
      <x:c r="K4" s="46" t="str">
        <x:v>结果</x:v>
      </x:c>
      <x:c r="L4" s="46" t="str">
        <x:v>我的错因/备注</x:v>
      </x:c>
    </x:row>
    <x:row r="5" ht="62" customHeight="1">
      <x:c r="A5" s="54" t="str">
        <x:v>RK001</x:v>
      </x:c>
      <x:c r="B5" s="54" t="str">
        <x:v>需求工程与UML</x:v>
      </x:c>
      <x:c r="C5" s="54" t="str">
        <x:v>A</x:v>
      </x:c>
      <x:c r="D5" s="54" t="str">
        <x:v>某需求写成“系统要方便易用”，其首要问题是？</x:v>
      </x:c>
      <x:c r="E5" s="54" t="str">
        <x:v>无法直接验证是否满足</x:v>
      </x:c>
      <x:c r="F5" s="54" t="str">
        <x:v>包含过多接口细节</x:v>
      </x:c>
      <x:c r="G5" s="54" t="str">
        <x:v>与业务目标无关</x:v>
      </x:c>
      <x:c r="H5" s="54" t="str">
        <x:v>必然属于功能需求</x:v>
      </x:c>
      <x:c r="I5" s="58"/>
      <x:c r="J5" s="54" t="str">
        <x:f>IF(I5="","",IF(I5='答案与解析'!C5,1,0))</x:f>
      </x:c>
      <x:c r="K5" s="54" t="str">
        <x:f>IF(I5="","未作答",IF(J5=1,"正确","错误"))</x:f>
        <x:v>未作答</x:v>
      </x:c>
      <x:c r="L5" s="68"/>
    </x:row>
    <x:row r="6" ht="62" customHeight="1">
      <x:c r="A6" s="54" t="str">
        <x:v>RK002</x:v>
      </x:c>
      <x:c r="B6" s="54" t="str">
        <x:v>系统规划与企业信息化</x:v>
      </x:c>
      <x:c r="C6" s="54" t="str">
        <x:v>B</x:v>
      </x:c>
      <x:c r="D6" s="54" t="str">
        <x:v>可行性分析中，既比较投入与收益又考虑现金流时间价值的常用方法是？</x:v>
      </x:c>
      <x:c r="E6" s="54" t="str">
        <x:v>代码覆盖率</x:v>
      </x:c>
      <x:c r="F6" s="54" t="str">
        <x:v>净现值NPV</x:v>
      </x:c>
      <x:c r="G6" s="54" t="str">
        <x:v>循环复杂度</x:v>
      </x:c>
      <x:c r="H6" s="54" t="str">
        <x:v>进程调度</x:v>
      </x:c>
      <x:c r="I6" s="58"/>
      <x:c r="J6" s="54" t="str">
        <x:f>IF(I6="","",IF(I6='答案与解析'!C6,1,0))</x:f>
      </x:c>
      <x:c r="K6" s="54" t="str">
        <x:f>IF(I6="","未作答",IF(J6=1,"正确","错误"))</x:f>
        <x:v>未作答</x:v>
      </x:c>
      <x:c r="L6" s="68"/>
    </x:row>
    <x:row r="7" ht="62" customHeight="1">
      <x:c r="A7" s="54" t="str">
        <x:v>RK003</x:v>
      </x:c>
      <x:c r="B7" s="54" t="str">
        <x:v>软件工程与开发方法</x:v>
      </x:c>
      <x:c r="C7" s="54" t="str">
        <x:v>B</x:v>
      </x:c>
      <x:c r="D7" s="54" t="str">
        <x:v>瀑布模型最适宜的项目特征是？</x:v>
      </x:c>
      <x:c r="E7" s="54" t="str">
        <x:v>需求高度不确定且频繁试错</x:v>
      </x:c>
      <x:c r="F7" s="54" t="str">
        <x:v>需求相对稳定、阶段交付物清晰</x:v>
      </x:c>
      <x:c r="G7" s="54" t="str">
        <x:v>每日上线且无审批需求</x:v>
      </x:c>
      <x:c r="H7" s="54" t="str">
        <x:v>只有探索性研究</x:v>
      </x:c>
      <x:c r="I7" s="58"/>
      <x:c r="J7" s="54" t="str">
        <x:f>IF(I7="","",IF(I7='答案与解析'!C7,1,0))</x:f>
      </x:c>
      <x:c r="K7" s="54" t="str">
        <x:f>IF(I7="","未作答",IF(J7=1,"正确","错误"))</x:f>
        <x:v>未作答</x:v>
      </x:c>
      <x:c r="L7" s="68"/>
    </x:row>
    <x:row r="8" ht="62" customHeight="1">
      <x:c r="A8" s="54" t="str">
        <x:v>RK004</x:v>
      </x:c>
      <x:c r="B8" s="54" t="str">
        <x:v>架构与设计模式</x:v>
      </x:c>
      <x:c r="C8" s="54" t="str">
        <x:v>A</x:v>
      </x:c>
      <x:c r="D8" s="54" t="str">
        <x:v>在4+1架构视图中，最关注并发、进程和通信的是？</x:v>
      </x:c>
      <x:c r="E8" s="54" t="str">
        <x:v>逻辑视图</x:v>
      </x:c>
      <x:c r="F8" s="54" t="str">
        <x:v>进程视图</x:v>
      </x:c>
      <x:c r="G8" s="54" t="str">
        <x:v>开发视图</x:v>
      </x:c>
      <x:c r="H8" s="54" t="str">
        <x:v>场景视图</x:v>
      </x:c>
      <x:c r="I8" s="58"/>
      <x:c r="J8" s="54" t="str">
        <x:f>IF(I8="","",IF(I8='答案与解析'!C8,1,0))</x:f>
      </x:c>
      <x:c r="K8" s="54" t="str">
        <x:f>IF(I8="","未作答",IF(J8=1,"正确","错误"))</x:f>
        <x:v>未作答</x:v>
      </x:c>
      <x:c r="L8" s="68"/>
    </x:row>
    <x:row r="9" ht="62" customHeight="1">
      <x:c r="A9" s="54" t="str">
        <x:v>RK005</x:v>
      </x:c>
      <x:c r="B9" s="54" t="str">
        <x:v>数据库与数据建模</x:v>
      </x:c>
      <x:c r="C9" s="54" t="str">
        <x:v>A</x:v>
      </x:c>
      <x:c r="D9" s="54" t="str">
        <x:v>候选键是指？</x:v>
      </x:c>
      <x:c r="E9" s="54" t="str">
        <x:v>任意允许重复的列</x:v>
      </x:c>
      <x:c r="F9" s="54" t="str">
        <x:v>能够唯一标识元组且不含冗余属性的属性集</x:v>
      </x:c>
      <x:c r="G9" s="54" t="str">
        <x:v>总是自增整数</x:v>
      </x:c>
      <x:c r="H9" s="54" t="str">
        <x:v>外表的外键</x:v>
      </x:c>
      <x:c r="I9" s="58"/>
      <x:c r="J9" s="54" t="str">
        <x:f>IF(I9="","",IF(I9='答案与解析'!C9,1,0))</x:f>
      </x:c>
      <x:c r="K9" s="54" t="str">
        <x:f>IF(I9="","未作答",IF(J9=1,"正确","错误"))</x:f>
        <x:v>未作答</x:v>
      </x:c>
      <x:c r="L9" s="68"/>
    </x:row>
    <x:row r="10" ht="62" customHeight="1">
      <x:c r="A10" s="54" t="str">
        <x:v>RK006</x:v>
      </x:c>
      <x:c r="B10" s="54" t="str">
        <x:v>软件测试与质量</x:v>
      </x:c>
      <x:c r="C10" s="54" t="str">
        <x:v>A</x:v>
      </x:c>
      <x:c r="D10" s="54" t="str">
        <x:v>不运行程序、通过人工审查或静态分析工具发现问题属于？</x:v>
      </x:c>
      <x:c r="E10" s="54" t="str">
        <x:v>静态测试</x:v>
      </x:c>
      <x:c r="F10" s="54" t="str">
        <x:v>性能测试</x:v>
      </x:c>
      <x:c r="G10" s="54" t="str">
        <x:v>冒烟测试</x:v>
      </x:c>
      <x:c r="H10" s="54" t="str">
        <x:v>回归测试</x:v>
      </x:c>
      <x:c r="I10" s="58"/>
      <x:c r="J10" s="54" t="str">
        <x:f>IF(I10="","",IF(I10='答案与解析'!C10,1,0))</x:f>
      </x:c>
      <x:c r="K10" s="54" t="str">
        <x:f>IF(I10="","未作答",IF(J10=1,"正确","错误"))</x:f>
        <x:v>未作答</x:v>
      </x:c>
      <x:c r="L10" s="68"/>
    </x:row>
    <x:row r="11" ht="62" customHeight="1">
      <x:c r="A11" s="54" t="str">
        <x:v>RK007</x:v>
      </x:c>
      <x:c r="B11" s="54" t="str">
        <x:v>网络分布式与高可用</x:v>
      </x:c>
      <x:c r="C11" s="54" t="str">
        <x:v>A</x:v>
      </x:c>
      <x:c r="D11" s="54" t="str">
        <x:v>TCP相比UDP最典型的特性是？</x:v>
      </x:c>
      <x:c r="E11" s="54" t="str">
        <x:v>总是时延更低</x:v>
      </x:c>
      <x:c r="F11" s="54" t="str">
        <x:v>面向连接、可靠有序字节流</x:v>
      </x:c>
      <x:c r="G11" s="54" t="str">
        <x:v>没有拥塞控制</x:v>
      </x:c>
      <x:c r="H11" s="54" t="str">
        <x:v>报文天然保持边界</x:v>
      </x:c>
      <x:c r="I11" s="58"/>
      <x:c r="J11" s="54" t="str">
        <x:f>IF(I11="","",IF(I11='答案与解析'!C11,1,0))</x:f>
      </x:c>
      <x:c r="K11" s="54" t="str">
        <x:f>IF(I11="","未作答",IF(J11=1,"正确","错误"))</x:f>
        <x:v>未作答</x:v>
      </x:c>
      <x:c r="L11" s="68"/>
    </x:row>
    <x:row r="12" ht="62" customHeight="1">
      <x:c r="A12" s="54" t="str">
        <x:v>RK008</x:v>
      </x:c>
      <x:c r="B12" s="54" t="str">
        <x:v>安全合规与标准</x:v>
      </x:c>
      <x:c r="C12" s="54" t="str">
        <x:v>A</x:v>
      </x:c>
      <x:c r="D12" s="54" t="str">
        <x:v>对大量业务数据进行高效加密，优先选用？</x:v>
      </x:c>
      <x:c r="E12" s="54" t="str">
        <x:v>AES等对称加密算法</x:v>
      </x:c>
      <x:c r="F12" s="54" t="str">
        <x:v>RSA逐字节直接加密所有数据</x:v>
      </x:c>
      <x:c r="G12" s="54" t="str">
        <x:v>明文Base64编码</x:v>
      </x:c>
      <x:c r="H12" s="54" t="str">
        <x:v>只做压缩</x:v>
      </x:c>
      <x:c r="I12" s="58"/>
      <x:c r="J12" s="54" t="str">
        <x:f>IF(I12="","",IF(I12='答案与解析'!C12,1,0))</x:f>
      </x:c>
      <x:c r="K12" s="54" t="str">
        <x:f>IF(I12="","未作答",IF(J12=1,"正确","错误"))</x:f>
        <x:v>未作答</x:v>
      </x:c>
      <x:c r="L12" s="68"/>
    </x:row>
    <x:row r="13" ht="62" customHeight="1">
      <x:c r="A13" s="54" t="str">
        <x:v>RK009</x:v>
      </x:c>
      <x:c r="B13" s="54" t="str">
        <x:v>计算机系统与操作系统</x:v>
      </x:c>
      <x:c r="C13" s="54" t="str">
        <x:v>B</x:v>
      </x:c>
      <x:c r="D13" s="54" t="str">
        <x:v>CPU缓存Cache命中率越高，通常意味着？</x:v>
      </x:c>
      <x:c r="E13" s="54" t="str">
        <x:v>平均访存延迟趋于下降</x:v>
      </x:c>
      <x:c r="F13" s="54" t="str">
        <x:v>磁盘容量增加</x:v>
      </x:c>
      <x:c r="G13" s="54" t="str">
        <x:v>进程数量必然减半</x:v>
      </x:c>
      <x:c r="H13" s="54" t="str">
        <x:v>程序代码自动无缺陷</x:v>
      </x:c>
      <x:c r="I13" s="58"/>
      <x:c r="J13" s="54" t="str">
        <x:f>IF(I13="","",IF(I13='答案与解析'!C13,1,0))</x:f>
      </x:c>
      <x:c r="K13" s="54" t="str">
        <x:f>IF(I13="","未作答",IF(J13=1,"正确","错误"))</x:f>
        <x:v>未作答</x:v>
      </x:c>
      <x:c r="L13" s="68"/>
    </x:row>
    <x:row r="14" ht="62" customHeight="1">
      <x:c r="A14" s="54" t="str">
        <x:v>RK010</x:v>
      </x:c>
      <x:c r="B14" s="54" t="str">
        <x:v>工程数学与项目管理</x:v>
      </x:c>
      <x:c r="C14" s="54" t="str">
        <x:v>B</x:v>
      </x:c>
      <x:c r="D14" s="54" t="str">
        <x:v>一项目两年后收入121万元，折现率10%，折现到当前价值约多少万元？</x:v>
      </x:c>
      <x:c r="E14" s="54" t="str">
        <x:v>90</x:v>
      </x:c>
      <x:c r="F14" s="54" t="str">
        <x:v>100</x:v>
      </x:c>
      <x:c r="G14" s="54" t="str">
        <x:v>110</x:v>
      </x:c>
      <x:c r="H14" s="54" t="str">
        <x:v>121</x:v>
      </x:c>
      <x:c r="I14" s="58"/>
      <x:c r="J14" s="54" t="str">
        <x:f>IF(I14="","",IF(I14='答案与解析'!C14,1,0))</x:f>
      </x:c>
      <x:c r="K14" s="54" t="str">
        <x:f>IF(I14="","未作答",IF(J14=1,"正确","错误"))</x:f>
        <x:v>未作答</x:v>
      </x:c>
      <x:c r="L14" s="68"/>
    </x:row>
    <x:row r="15" ht="62" customHeight="1">
      <x:c r="A15" s="54" t="str">
        <x:v>RK011</x:v>
      </x:c>
      <x:c r="B15" s="54" t="str">
        <x:v>云原生微服务与AI</x:v>
      </x:c>
      <x:c r="C15" s="54" t="str">
        <x:v>B</x:v>
      </x:c>
      <x:c r="D15" s="54" t="str">
        <x:v>容器与虚拟机的典型差异是？</x:v>
      </x:c>
      <x:c r="E15" s="54" t="str">
        <x:v>容器通常共享宿主机内核，虚拟机模拟/虚拟硬件与完整客户机环境</x:v>
      </x:c>
      <x:c r="F15" s="54" t="str">
        <x:v>容器必然比虚拟机安全</x:v>
      </x:c>
      <x:c r="G15" s="54" t="str">
        <x:v>虚拟机无法隔离资源</x:v>
      </x:c>
      <x:c r="H15" s="54" t="str">
        <x:v>容器只能在一台服务器运行</x:v>
      </x:c>
      <x:c r="I15" s="58"/>
      <x:c r="J15" s="54" t="str">
        <x:f>IF(I15="","",IF(I15='答案与解析'!C15,1,0))</x:f>
      </x:c>
      <x:c r="K15" s="54" t="str">
        <x:f>IF(I15="","未作答",IF(J15=1,"正确","错误"))</x:f>
        <x:v>未作答</x:v>
      </x:c>
      <x:c r="L15" s="68"/>
    </x:row>
    <x:row r="16" ht="62" customHeight="1">
      <x:c r="A16" s="54" t="str">
        <x:v>RK012</x:v>
      </x:c>
      <x:c r="B16" s="54" t="str">
        <x:v>系统实施运维与英语</x:v>
      </x:c>
      <x:c r="C16" s="54" t="str">
        <x:v>B</x:v>
      </x:c>
      <x:c r="D16" s="54" t="str">
        <x:v>SLA中可用性目标应与哪个要素联动定义？</x:v>
      </x:c>
      <x:c r="E16" s="54" t="str">
        <x:v>测量窗口、排除条件和违约处理</x:v>
      </x:c>
      <x:c r="F16" s="54" t="str">
        <x:v>开发语言排名</x:v>
      </x:c>
      <x:c r="G16" s="54" t="str">
        <x:v>UI颜色</x:v>
      </x:c>
      <x:c r="H16" s="54" t="str">
        <x:v>工程师工号</x:v>
      </x:c>
      <x:c r="I16" s="58"/>
      <x:c r="J16" s="54" t="str">
        <x:f>IF(I16="","",IF(I16='答案与解析'!C16,1,0))</x:f>
      </x:c>
      <x:c r="K16" s="54" t="str">
        <x:f>IF(I16="","未作答",IF(J16=1,"正确","错误"))</x:f>
        <x:v>未作答</x:v>
      </x:c>
      <x:c r="L16" s="68"/>
    </x:row>
    <x:row r="17" ht="62" customHeight="1">
      <x:c r="A17" s="54" t="str">
        <x:v>RK013</x:v>
      </x:c>
      <x:c r="B17" s="54" t="str">
        <x:v>需求工程与UML</x:v>
      </x:c>
      <x:c r="C17" s="54" t="str">
        <x:v>A</x:v>
      </x:c>
      <x:c r="D17" s="54" t="str">
        <x:v>在需求获取阶段，为了解不同角色之间相互冲突的业务规则，最适合先采用？</x:v>
      </x:c>
      <x:c r="E17" s="54" t="str">
        <x:v>压力测试</x:v>
      </x:c>
      <x:c r="F17" s="54" t="str">
        <x:v>联合需求研讨会</x:v>
      </x:c>
      <x:c r="G17" s="54" t="str">
        <x:v>代码审查</x:v>
      </x:c>
      <x:c r="H17" s="54" t="str">
        <x:v>数据库备份</x:v>
      </x:c>
      <x:c r="I17" s="58"/>
      <x:c r="J17" s="54" t="str">
        <x:f>IF(I17="","",IF(I17='答案与解析'!C17,1,0))</x:f>
      </x:c>
      <x:c r="K17" s="54" t="str">
        <x:f>IF(I17="","未作答",IF(J17=1,"正确","错误"))</x:f>
        <x:v>未作答</x:v>
      </x:c>
      <x:c r="L17" s="68"/>
    </x:row>
    <x:row r="18" ht="62" customHeight="1">
      <x:c r="A18" s="54" t="str">
        <x:v>RK014</x:v>
      </x:c>
      <x:c r="B18" s="54" t="str">
        <x:v>系统规划与企业信息化</x:v>
      </x:c>
      <x:c r="C18" s="54" t="str">
        <x:v>B</x:v>
      </x:c>
      <x:c r="D18" s="54" t="str">
        <x:v>业务流程再造BPR最强调？</x:v>
      </x:c>
      <x:c r="E18" s="54" t="str">
        <x:v>仅把纸质表单扫描成PDF</x:v>
      </x:c>
      <x:c r="F18" s="54" t="str">
        <x:v>增加审批层级</x:v>
      </x:c>
      <x:c r="G18" s="54" t="str">
        <x:v>围绕业务价值对流程作根本性重新设计</x:v>
      </x:c>
      <x:c r="H18" s="54" t="str">
        <x:v>维持原部门边界不变</x:v>
      </x:c>
      <x:c r="I18" s="58"/>
      <x:c r="J18" s="54" t="str">
        <x:f>IF(I18="","",IF(I18='答案与解析'!C18,1,0))</x:f>
      </x:c>
      <x:c r="K18" s="54" t="str">
        <x:f>IF(I18="","未作答",IF(J18=1,"正确","错误"))</x:f>
        <x:v>未作答</x:v>
      </x:c>
      <x:c r="L18" s="68"/>
    </x:row>
    <x:row r="19" ht="62" customHeight="1">
      <x:c r="A19" s="54" t="str">
        <x:v>RK015</x:v>
      </x:c>
      <x:c r="B19" s="54" t="str">
        <x:v>软件工程与开发方法</x:v>
      </x:c>
      <x:c r="C19" s="54" t="str">
        <x:v>B</x:v>
      </x:c>
      <x:c r="D19" s="54" t="str">
        <x:v>增量开发相较一次性交付的显著优势是？</x:v>
      </x:c>
      <x:c r="E19" s="54" t="str">
        <x:v>不需要架构设计</x:v>
      </x:c>
      <x:c r="F19" s="54" t="str">
        <x:v>无需集成测试</x:v>
      </x:c>
      <x:c r="G19" s="54" t="str">
        <x:v>可逐批提供业务价值并吸收反馈</x:v>
      </x:c>
      <x:c r="H19" s="54" t="str">
        <x:v>一定没有返工</x:v>
      </x:c>
      <x:c r="I19" s="58"/>
      <x:c r="J19" s="54" t="str">
        <x:f>IF(I19="","",IF(I19='答案与解析'!C19,1,0))</x:f>
      </x:c>
      <x:c r="K19" s="54" t="str">
        <x:f>IF(I19="","未作答",IF(J19=1,"正确","错误"))</x:f>
        <x:v>未作答</x:v>
      </x:c>
      <x:c r="L19" s="68"/>
    </x:row>
    <x:row r="20" ht="62" customHeight="1">
      <x:c r="A20" s="54" t="str">
        <x:v>RK016</x:v>
      </x:c>
      <x:c r="B20" s="54" t="str">
        <x:v>架构与设计模式</x:v>
      </x:c>
      <x:c r="C20" s="54" t="str">
        <x:v>A</x:v>
      </x:c>
      <x:c r="D20" s="54" t="str">
        <x:v>部署图更适合表达？</x:v>
      </x:c>
      <x:c r="E20" s="54" t="str">
        <x:v>用户的业务目标</x:v>
      </x:c>
      <x:c r="F20" s="54" t="str">
        <x:v>需求优先级</x:v>
      </x:c>
      <x:c r="G20" s="54" t="str">
        <x:v>软件制品在硬件节点上的部署关系</x:v>
      </x:c>
      <x:c r="H20" s="54" t="str">
        <x:v>类之间的继承关系</x:v>
      </x:c>
      <x:c r="I20" s="58"/>
      <x:c r="J20" s="54" t="str">
        <x:f>IF(I20="","",IF(I20='答案与解析'!C20,1,0))</x:f>
      </x:c>
      <x:c r="K20" s="54" t="str">
        <x:f>IF(I20="","未作答",IF(J20=1,"正确","错误"))</x:f>
        <x:v>未作答</x:v>
      </x:c>
      <x:c r="L20" s="68"/>
    </x:row>
    <x:row r="21" ht="62" customHeight="1">
      <x:c r="A21" s="54" t="str">
        <x:v>RK017</x:v>
      </x:c>
      <x:c r="B21" s="54" t="str">
        <x:v>数据库与数据建模</x:v>
      </x:c>
      <x:c r="C21" s="54" t="str">
        <x:v>A</x:v>
      </x:c>
      <x:c r="D21" s="54" t="str">
        <x:v>第一范式1NF要求？</x:v>
      </x:c>
      <x:c r="E21" s="54" t="str">
        <x:v>所有字段加密</x:v>
      </x:c>
      <x:c r="F21" s="54" t="str">
        <x:v>有且仅有一个主键</x:v>
      </x:c>
      <x:c r="G21" s="54" t="str">
        <x:v>属性值不可再分为关系模型中的重复组</x:v>
      </x:c>
      <x:c r="H21" s="54" t="str">
        <x:v>必须达到BCNF</x:v>
      </x:c>
      <x:c r="I21" s="58"/>
      <x:c r="J21" s="54" t="str">
        <x:f>IF(I21="","",IF(I21='答案与解析'!C21,1,0))</x:f>
      </x:c>
      <x:c r="K21" s="54" t="str">
        <x:f>IF(I21="","未作答",IF(J21=1,"正确","错误"))</x:f>
        <x:v>未作答</x:v>
      </x:c>
      <x:c r="L21" s="68"/>
    </x:row>
    <x:row r="22" ht="62" customHeight="1">
      <x:c r="A22" s="54" t="str">
        <x:v>RK018</x:v>
      </x:c>
      <x:c r="B22" s="54" t="str">
        <x:v>软件测试与质量</x:v>
      </x:c>
      <x:c r="C22" s="54" t="str">
        <x:v>A</x:v>
      </x:c>
      <x:c r="D22" s="54" t="str">
        <x:v>白盒测试的语句覆盖100%意味着？</x:v>
      </x:c>
      <x:c r="E22" s="54" t="str">
        <x:v>判定覆盖必然100%</x:v>
      </x:c>
      <x:c r="F22" s="54" t="str">
        <x:v>至少每条可执行语句被执行一次</x:v>
      </x:c>
      <x:c r="G22" s="54" t="str">
        <x:v>路径覆盖必然100%</x:v>
      </x:c>
      <x:c r="H22" s="54" t="str">
        <x:v>软件无缺陷</x:v>
      </x:c>
      <x:c r="I22" s="58"/>
      <x:c r="J22" s="54" t="str">
        <x:f>IF(I22="","",IF(I22='答案与解析'!C22,1,0))</x:f>
      </x:c>
      <x:c r="K22" s="54" t="str">
        <x:f>IF(I22="","未作答",IF(J22=1,"正确","错误"))</x:f>
        <x:v>未作答</x:v>
      </x:c>
      <x:c r="L22" s="68"/>
    </x:row>
    <x:row r="23" ht="62" customHeight="1">
      <x:c r="A23" s="54" t="str">
        <x:v>RK019</x:v>
      </x:c>
      <x:c r="B23" s="54" t="str">
        <x:v>网络分布式与高可用</x:v>
      </x:c>
      <x:c r="C23" s="54" t="str">
        <x:v>A</x:v>
      </x:c>
      <x:c r="D23" s="54" t="str">
        <x:v>HTTPS中TLS的核心作用是？</x:v>
      </x:c>
      <x:c r="E23" s="54" t="str">
        <x:v>规定页面布局</x:v>
      </x:c>
      <x:c r="F23" s="54" t="str">
        <x:v>实现域名注册</x:v>
      </x:c>
      <x:c r="G23" s="54" t="str">
        <x:v>提供传输加密、完整性和身份认证能力</x:v>
      </x:c>
      <x:c r="H23" s="54" t="str">
        <x:v>代替应用层鉴权</x:v>
      </x:c>
      <x:c r="I23" s="58"/>
      <x:c r="J23" s="54" t="str">
        <x:f>IF(I23="","",IF(I23='答案与解析'!C23,1,0))</x:f>
      </x:c>
      <x:c r="K23" s="54" t="str">
        <x:f>IF(I23="","未作答",IF(J23=1,"正确","错误"))</x:f>
        <x:v>未作答</x:v>
      </x:c>
      <x:c r="L23" s="68"/>
    </x:row>
    <x:row r="24" ht="62" customHeight="1">
      <x:c r="A24" s="54" t="str">
        <x:v>RK020</x:v>
      </x:c>
      <x:c r="B24" s="54" t="str">
        <x:v>安全合规与标准</x:v>
      </x:c>
      <x:c r="C24" s="54" t="str">
        <x:v>A</x:v>
      </x:c>
      <x:c r="D24" s="54" t="str">
        <x:v>哈希摘要与加密的本质区别是？</x:v>
      </x:c>
      <x:c r="E24" s="54" t="str">
        <x:v>哈希必须用密钥解密</x:v>
      </x:c>
      <x:c r="F24" s="54" t="str">
        <x:v>密码学哈希通常是单向摘要而非可逆加密</x:v>
      </x:c>
      <x:c r="G24" s="54" t="str">
        <x:v>哈希天然保证保密性</x:v>
      </x:c>
      <x:c r="H24" s="54" t="str">
        <x:v>哈希不存在碰撞可能</x:v>
      </x:c>
      <x:c r="I24" s="58"/>
      <x:c r="J24" s="54" t="str">
        <x:f>IF(I24="","",IF(I24='答案与解析'!C24,1,0))</x:f>
      </x:c>
      <x:c r="K24" s="54" t="str">
        <x:f>IF(I24="","未作答",IF(J24=1,"正确","错误"))</x:f>
        <x:v>未作答</x:v>
      </x:c>
      <x:c r="L24" s="68"/>
    </x:row>
    <x:row r="25" ht="62" customHeight="1">
      <x:c r="A25" s="54" t="str">
        <x:v>RK021</x:v>
      </x:c>
      <x:c r="B25" s="54" t="str">
        <x:v>计算机系统与操作系统</x:v>
      </x:c>
      <x:c r="C25" s="54" t="str">
        <x:v>B</x:v>
      </x:c>
      <x:c r="D25" s="54" t="str">
        <x:v>虚拟内存页表主要用于？</x:v>
      </x:c>
      <x:c r="E25" s="54" t="str">
        <x:v>保存明文账户密码</x:v>
      </x:c>
      <x:c r="F25" s="54" t="str">
        <x:v>虚拟地址到物理页框映射及相关控制</x:v>
      </x:c>
      <x:c r="G25" s="54" t="str">
        <x:v>路由器选路</x:v>
      </x:c>
      <x:c r="H25" s="54" t="str">
        <x:v>替代应用数据库</x:v>
      </x:c>
      <x:c r="I25" s="58"/>
      <x:c r="J25" s="54" t="str">
        <x:f>IF(I25="","",IF(I25='答案与解析'!C25,1,0))</x:f>
      </x:c>
      <x:c r="K25" s="54" t="str">
        <x:f>IF(I25="","未作答",IF(J25=1,"正确","错误"))</x:f>
        <x:v>未作答</x:v>
      </x:c>
      <x:c r="L25" s="68"/>
    </x:row>
    <x:row r="26" ht="62" customHeight="1">
      <x:c r="A26" s="54" t="str">
        <x:v>RK022</x:v>
      </x:c>
      <x:c r="B26" s="54" t="str">
        <x:v>工程数学与项目管理</x:v>
      </x:c>
      <x:c r="C26" s="54" t="str">
        <x:v>B</x:v>
      </x:c>
      <x:c r="D26" s="54" t="str">
        <x:v>三项独立风险的期望损失分别为0.2×20、0.1×50、0.3×10（万元），总期望损失是？</x:v>
      </x:c>
      <x:c r="E26" s="54" t="str">
        <x:v>8万元</x:v>
      </x:c>
      <x:c r="F26" s="54" t="str">
        <x:v>10万元</x:v>
      </x:c>
      <x:c r="G26" s="54" t="str">
        <x:v>12万元</x:v>
      </x:c>
      <x:c r="H26" s="54" t="str">
        <x:v>15万元</x:v>
      </x:c>
      <x:c r="I26" s="58"/>
      <x:c r="J26" s="54" t="str">
        <x:f>IF(I26="","",IF(I26='答案与解析'!C26,1,0))</x:f>
      </x:c>
      <x:c r="K26" s="54" t="str">
        <x:f>IF(I26="","未作答",IF(J26=1,"正确","错误"))</x:f>
        <x:v>未作答</x:v>
      </x:c>
      <x:c r="L26" s="68"/>
    </x:row>
    <x:row r="27" ht="62" customHeight="1">
      <x:c r="A27" s="54" t="str">
        <x:v>RK023</x:v>
      </x:c>
      <x:c r="B27" s="54" t="str">
        <x:v>云原生微服务与AI</x:v>
      </x:c>
      <x:c r="C27" s="54" t="str">
        <x:v>B</x:v>
      </x:c>
      <x:c r="D27" s="54" t="str">
        <x:v>Kubernetes中Deployment最典型的用途是？</x:v>
      </x:c>
      <x:c r="E27" s="54" t="str">
        <x:v>替代所有持久化存储</x:v>
      </x:c>
      <x:c r="F27" s="54" t="str">
        <x:v>声明式管理无状态应用副本与滚动更新</x:v>
      </x:c>
      <x:c r="G27" s="54" t="str">
        <x:v>实现SQL查询</x:v>
      </x:c>
      <x:c r="H27" s="54" t="str">
        <x:v>管理公司财务凭证</x:v>
      </x:c>
      <x:c r="I27" s="58"/>
      <x:c r="J27" s="54" t="str">
        <x:f>IF(I27="","",IF(I27='答案与解析'!C27,1,0))</x:f>
      </x:c>
      <x:c r="K27" s="54" t="str">
        <x:f>IF(I27="","未作答",IF(J27=1,"正确","错误"))</x:f>
        <x:v>未作答</x:v>
      </x:c>
      <x:c r="L27" s="68"/>
    </x:row>
    <x:row r="28" ht="62" customHeight="1">
      <x:c r="A28" s="54" t="str">
        <x:v>RK024</x:v>
      </x:c>
      <x:c r="B28" s="54" t="str">
        <x:v>系统实施运维与英语</x:v>
      </x:c>
      <x:c r="C28" s="54" t="str">
        <x:v>B</x:v>
      </x:c>
      <x:c r="D28" s="54" t="str">
        <x:v>生产系统上线前最有价值的活动组合是？</x:v>
      </x:c>
      <x:c r="E28" s="54" t="str">
        <x:v>只发布营销海报</x:v>
      </x:c>
      <x:c r="F28" s="54" t="str">
        <x:v>灰度/回滚演练、监控告警与数据备份验证</x:v>
      </x:c>
      <x:c r="G28" s="54" t="str">
        <x:v>删去错误日志</x:v>
      </x:c>
      <x:c r="H28" s="54" t="str">
        <x:v>省略权限核查</x:v>
      </x:c>
      <x:c r="I28" s="58"/>
      <x:c r="J28" s="54" t="str">
        <x:f>IF(I28="","",IF(I28='答案与解析'!C28,1,0))</x:f>
      </x:c>
      <x:c r="K28" s="54" t="str">
        <x:f>IF(I28="","未作答",IF(J28=1,"正确","错误"))</x:f>
        <x:v>未作答</x:v>
      </x:c>
      <x:c r="L28" s="68"/>
    </x:row>
    <x:row r="29" ht="62" customHeight="1">
      <x:c r="A29" s="54" t="str">
        <x:v>RK025</x:v>
      </x:c>
      <x:c r="B29" s="54" t="str">
        <x:v>需求工程与UML</x:v>
      </x:c>
      <x:c r="C29" s="54" t="str">
        <x:v>A</x:v>
      </x:c>
      <x:c r="D29" s="54" t="str">
        <x:v>“订单支付成功后5秒内返回确认”属于？</x:v>
      </x:c>
      <x:c r="E29" s="54" t="str">
        <x:v>业务目标而非需求</x:v>
      </x:c>
      <x:c r="F29" s="54" t="str">
        <x:v>功能需求</x:v>
      </x:c>
      <x:c r="G29" s="54" t="str">
        <x:v>性能类非功能需求</x:v>
      </x:c>
      <x:c r="H29" s="54" t="str">
        <x:v>数据库完整性约束</x:v>
      </x:c>
      <x:c r="I29" s="58"/>
      <x:c r="J29" s="54" t="str">
        <x:f>IF(I29="","",IF(I29='答案与解析'!C29,1,0))</x:f>
      </x:c>
      <x:c r="K29" s="54" t="str">
        <x:f>IF(I29="","未作答",IF(J29=1,"正确","错误"))</x:f>
        <x:v>未作答</x:v>
      </x:c>
      <x:c r="L29" s="68"/>
    </x:row>
    <x:row r="30" ht="62" customHeight="1">
      <x:c r="A30" s="54" t="str">
        <x:v>RK026</x:v>
      </x:c>
      <x:c r="B30" s="54" t="str">
        <x:v>系统规划与企业信息化</x:v>
      </x:c>
      <x:c r="C30" s="54" t="str">
        <x:v>B</x:v>
      </x:c>
      <x:c r="D30" s="54" t="str">
        <x:v>在信息系统总体规划中，先明确企业战略与业务目标，是因为？</x:v>
      </x:c>
      <x:c r="E30" s="54" t="str">
        <x:v>能避免使用数据库</x:v>
      </x:c>
      <x:c r="F30" s="54" t="str">
        <x:v>只考虑开发工具即可</x:v>
      </x:c>
      <x:c r="G30" s="54" t="str">
        <x:v>减少所有需求评审</x:v>
      </x:c>
      <x:c r="H30" s="54" t="str">
        <x:v>信息化投资需要与业务价值对齐</x:v>
      </x:c>
      <x:c r="I30" s="58"/>
      <x:c r="J30" s="54" t="str">
        <x:f>IF(I30="","",IF(I30='答案与解析'!C30,1,0))</x:f>
      </x:c>
      <x:c r="K30" s="54" t="str">
        <x:f>IF(I30="","未作答",IF(J30=1,"正确","错误"))</x:f>
        <x:v>未作答</x:v>
      </x:c>
      <x:c r="L30" s="68"/>
    </x:row>
    <x:row r="31" ht="62" customHeight="1">
      <x:c r="A31" s="54" t="str">
        <x:v>RK027</x:v>
      </x:c>
      <x:c r="B31" s="54" t="str">
        <x:v>软件工程与开发方法</x:v>
      </x:c>
      <x:c r="C31" s="54" t="str">
        <x:v>B</x:v>
      </x:c>
      <x:c r="D31" s="54" t="str">
        <x:v>敏捷宣言所倡导的更接近？</x:v>
      </x:c>
      <x:c r="E31" s="54" t="str">
        <x:v>遵循计划高于响应变化</x:v>
      </x:c>
      <x:c r="F31" s="54" t="str">
        <x:v>文档高于可运行软件</x:v>
      </x:c>
      <x:c r="G31" s="54" t="str">
        <x:v>合同谈判高于客户合作</x:v>
      </x:c>
      <x:c r="H31" s="54" t="str">
        <x:v>响应变化高于遵循计划</x:v>
      </x:c>
      <x:c r="I31" s="58"/>
      <x:c r="J31" s="54" t="str">
        <x:f>IF(I31="","",IF(I31='答案与解析'!C31,1,0))</x:f>
      </x:c>
      <x:c r="K31" s="54" t="str">
        <x:f>IF(I31="","未作答",IF(J31=1,"正确","错误"))</x:f>
        <x:v>未作答</x:v>
      </x:c>
      <x:c r="L31" s="68"/>
    </x:row>
    <x:row r="32" ht="62" customHeight="1">
      <x:c r="A32" s="54" t="str">
        <x:v>RK028</x:v>
      </x:c>
      <x:c r="B32" s="54" t="str">
        <x:v>架构与设计模式</x:v>
      </x:c>
      <x:c r="C32" s="54" t="str">
        <x:v>A</x:v>
      </x:c>
      <x:c r="D32" s="54" t="str">
        <x:v>系统需要各子系统通过事件解耦，比较适合的架构风格是？</x:v>
      </x:c>
      <x:c r="E32" s="54" t="str">
        <x:v>严格共享数据库</x:v>
      </x:c>
      <x:c r="F32" s="54" t="str">
        <x:v>单一巨型事务</x:v>
      </x:c>
      <x:c r="G32" s="54" t="str">
        <x:v>纯管道无事件</x:v>
      </x:c>
      <x:c r="H32" s="54" t="str">
        <x:v>事件驱动架构</x:v>
      </x:c>
      <x:c r="I32" s="58"/>
      <x:c r="J32" s="54" t="str">
        <x:f>IF(I32="","",IF(I32='答案与解析'!C32,1,0))</x:f>
      </x:c>
      <x:c r="K32" s="54" t="str">
        <x:f>IF(I32="","未作答",IF(J32=1,"正确","错误"))</x:f>
        <x:v>未作答</x:v>
      </x:c>
      <x:c r="L32" s="68"/>
    </x:row>
    <x:row r="33" ht="62" customHeight="1">
      <x:c r="A33" s="54" t="str">
        <x:v>RK029</x:v>
      </x:c>
      <x:c r="B33" s="54" t="str">
        <x:v>数据库与数据建模</x:v>
      </x:c>
      <x:c r="C33" s="54" t="str">
        <x:v>A</x:v>
      </x:c>
      <x:c r="D33" s="54" t="str">
        <x:v>在关系R(A,B,C)中，主键为(A,B)，而A→C，则它最可能违反？</x:v>
      </x:c>
      <x:c r="E33" s="54" t="str">
        <x:v>1NF</x:v>
      </x:c>
      <x:c r="F33" s="54" t="str">
        <x:v>4NF</x:v>
      </x:c>
      <x:c r="G33" s="54" t="str">
        <x:v>BCNF才会违反</x:v>
      </x:c>
      <x:c r="H33" s="54" t="str">
        <x:v>2NF</x:v>
      </x:c>
      <x:c r="I33" s="58"/>
      <x:c r="J33" s="54" t="str">
        <x:f>IF(I33="","",IF(I33='答案与解析'!C33,1,0))</x:f>
      </x:c>
      <x:c r="K33" s="54" t="str">
        <x:f>IF(I33="","未作答",IF(J33=1,"正确","错误"))</x:f>
        <x:v>未作答</x:v>
      </x:c>
      <x:c r="L33" s="68"/>
    </x:row>
    <x:row r="34" ht="62" customHeight="1">
      <x:c r="A34" s="54" t="str">
        <x:v>RK030</x:v>
      </x:c>
      <x:c r="B34" s="54" t="str">
        <x:v>软件测试与质量</x:v>
      </x:c>
      <x:c r="C34" s="54" t="str">
        <x:v>A</x:v>
      </x:c>
      <x:c r="D34" s="54" t="str">
        <x:v>100%判定覆盖主要意味着？</x:v>
      </x:c>
      <x:c r="E34" s="54" t="str">
        <x:v>所有变量值都曾枚举</x:v>
      </x:c>
      <x:c r="F34" s="54" t="str">
        <x:v>所有路径都执行</x:v>
      </x:c>
      <x:c r="G34" s="54" t="str">
        <x:v>每个判定的真、假结果至少出现一次</x:v>
      </x:c>
      <x:c r="H34" s="54" t="str">
        <x:v>系统已安全</x:v>
      </x:c>
      <x:c r="I34" s="58"/>
      <x:c r="J34" s="54" t="str">
        <x:f>IF(I34="","",IF(I34='答案与解析'!C34,1,0))</x:f>
      </x:c>
      <x:c r="K34" s="54" t="str">
        <x:f>IF(I34="","未作答",IF(J34=1,"正确","错误"))</x:f>
        <x:v>未作答</x:v>
      </x:c>
      <x:c r="L34" s="68"/>
    </x:row>
    <x:row r="35" ht="62" customHeight="1">
      <x:c r="A35" s="54" t="str">
        <x:v>RK031</x:v>
      </x:c>
      <x:c r="B35" s="54" t="str">
        <x:v>网络分布式与高可用</x:v>
      </x:c>
      <x:c r="C35" s="54" t="str">
        <x:v>A</x:v>
      </x:c>
      <x:c r="D35" s="54" t="str">
        <x:v>DNS主要负责？</x:v>
      </x:c>
      <x:c r="E35" s="54" t="str">
        <x:v>文件校验</x:v>
      </x:c>
      <x:c r="F35" s="54" t="str">
        <x:v>会话保持</x:v>
      </x:c>
      <x:c r="G35" s="54" t="str">
        <x:v>缓存事务日志</x:v>
      </x:c>
      <x:c r="H35" s="54" t="str">
        <x:v>域名到资源记录（如IP地址）的解析</x:v>
      </x:c>
      <x:c r="I35" s="58"/>
      <x:c r="J35" s="54" t="str">
        <x:f>IF(I35="","",IF(I35='答案与解析'!C35,1,0))</x:f>
      </x:c>
      <x:c r="K35" s="54" t="str">
        <x:f>IF(I35="","未作答",IF(J35=1,"正确","错误"))</x:f>
        <x:v>未作答</x:v>
      </x:c>
      <x:c r="L35" s="68"/>
    </x:row>
    <x:row r="36" ht="62" customHeight="1">
      <x:c r="A36" s="54" t="str">
        <x:v>RK032</x:v>
      </x:c>
      <x:c r="B36" s="54" t="str">
        <x:v>安全合规与标准</x:v>
      </x:c>
      <x:c r="C36" s="54" t="str">
        <x:v>A</x:v>
      </x:c>
      <x:c r="D36" s="54" t="str">
        <x:v>数字签名主要提供？</x:v>
      </x:c>
      <x:c r="E36" s="54" t="str">
        <x:v>机密性但不验证身份</x:v>
      </x:c>
      <x:c r="F36" s="54" t="str">
        <x:v>无限制访问</x:v>
      </x:c>
      <x:c r="G36" s="54" t="str">
        <x:v>完整性、来源认证及一定的不可否认性</x:v>
      </x:c>
      <x:c r="H36" s="54" t="str">
        <x:v>压缩比提升</x:v>
      </x:c>
      <x:c r="I36" s="58"/>
      <x:c r="J36" s="54" t="str">
        <x:f>IF(I36="","",IF(I36='答案与解析'!C36,1,0))</x:f>
      </x:c>
      <x:c r="K36" s="54" t="str">
        <x:f>IF(I36="","未作答",IF(J36=1,"正确","错误"))</x:f>
        <x:v>未作答</x:v>
      </x:c>
      <x:c r="L36" s="68"/>
    </x:row>
    <x:row r="37" ht="62" customHeight="1">
      <x:c r="A37" s="54" t="str">
        <x:v>RK033</x:v>
      </x:c>
      <x:c r="B37" s="54" t="str">
        <x:v>计算机系统与操作系统</x:v>
      </x:c>
      <x:c r="C37" s="54" t="str">
        <x:v>B</x:v>
      </x:c>
      <x:c r="D37" s="54" t="str">
        <x:v>缺页中断意味着？</x:v>
      </x:c>
      <x:c r="E37" s="54" t="str">
        <x:v>CPU硬件必然损坏</x:v>
      </x:c>
      <x:c r="F37" s="54" t="str">
        <x:v>线程永久阻塞</x:v>
      </x:c>
      <x:c r="G37" s="54" t="str">
        <x:v>访问页不在当前物理内存或映射需进一步处理</x:v>
      </x:c>
      <x:c r="H37" s="54" t="str">
        <x:v>进程一定非法</x:v>
      </x:c>
      <x:c r="I37" s="58"/>
      <x:c r="J37" s="54" t="str">
        <x:f>IF(I37="","",IF(I37='答案与解析'!C37,1,0))</x:f>
      </x:c>
      <x:c r="K37" s="54" t="str">
        <x:f>IF(I37="","未作答",IF(J37=1,"正确","错误"))</x:f>
        <x:v>未作答</x:v>
      </x:c>
      <x:c r="L37" s="68"/>
    </x:row>
    <x:row r="38" ht="62" customHeight="1">
      <x:c r="A38" s="54" t="str">
        <x:v>RK034</x:v>
      </x:c>
      <x:c r="B38" s="54" t="str">
        <x:v>工程数学与项目管理</x:v>
      </x:c>
      <x:c r="C38" s="54" t="str">
        <x:v>B</x:v>
      </x:c>
      <x:c r="D38" s="54" t="str">
        <x:v>活动A耗时3天，B耗时5天，两者并行且C在A、B都完工后开始，C耗时2天，最短工期为？</x:v>
      </x:c>
      <x:c r="E38" s="54" t="str">
        <x:v>5天</x:v>
      </x:c>
      <x:c r="F38" s="54" t="str">
        <x:v>7天</x:v>
      </x:c>
      <x:c r="G38" s="54" t="str">
        <x:v>8天</x:v>
      </x:c>
      <x:c r="H38" s="54" t="str">
        <x:v>10天</x:v>
      </x:c>
      <x:c r="I38" s="58"/>
      <x:c r="J38" s="54" t="str">
        <x:f>IF(I38="","",IF(I38='答案与解析'!C38,1,0))</x:f>
      </x:c>
      <x:c r="K38" s="54" t="str">
        <x:f>IF(I38="","未作答",IF(J38=1,"正确","错误"))</x:f>
        <x:v>未作答</x:v>
      </x:c>
      <x:c r="L38" s="68"/>
    </x:row>
    <x:row r="39" ht="62" customHeight="1">
      <x:c r="A39" s="54" t="str">
        <x:v>RK035</x:v>
      </x:c>
      <x:c r="B39" s="54" t="str">
        <x:v>云原生微服务与AI</x:v>
      </x:c>
      <x:c r="C39" s="54" t="str">
        <x:v>B</x:v>
      </x:c>
      <x:c r="D39" s="54" t="str">
        <x:v>Kubernetes readiness probe失败时通常意味着？</x:v>
      </x:c>
      <x:c r="E39" s="54" t="str">
        <x:v>容器镜像删除</x:v>
      </x:c>
      <x:c r="F39" s="54" t="str">
        <x:v>所在机器立刻关机</x:v>
      </x:c>
      <x:c r="G39" s="54" t="str">
        <x:v>Pod暂时不应接收服务流量</x:v>
      </x:c>
      <x:c r="H39" s="54" t="str">
        <x:v>数据库已被恢复</x:v>
      </x:c>
      <x:c r="I39" s="58"/>
      <x:c r="J39" s="54" t="str">
        <x:f>IF(I39="","",IF(I39='答案与解析'!C39,1,0))</x:f>
      </x:c>
      <x:c r="K39" s="54" t="str">
        <x:f>IF(I39="","未作答",IF(J39=1,"正确","错误"))</x:f>
        <x:v>未作答</x:v>
      </x:c>
      <x:c r="L39" s="68"/>
    </x:row>
    <x:row r="40" ht="62" customHeight="1">
      <x:c r="A40" s="54" t="str">
        <x:v>RK036</x:v>
      </x:c>
      <x:c r="B40" s="54" t="str">
        <x:v>系统实施运维与英语</x:v>
      </x:c>
      <x:c r="C40" s="54" t="str">
        <x:v>B</x:v>
      </x:c>
      <x:c r="D40" s="54" t="str">
        <x:v>运维中的MTTR通常表示？</x:v>
      </x:c>
      <x:c r="E40" s="54" t="str">
        <x:v>平均系统无故障时间</x:v>
      </x:c>
      <x:c r="F40" s="54" t="str">
        <x:v>平均发布周期</x:v>
      </x:c>
      <x:c r="G40" s="54" t="str">
        <x:v>平均修复/恢复时间</x:v>
      </x:c>
      <x:c r="H40" s="54" t="str">
        <x:v>最大请求量</x:v>
      </x:c>
      <x:c r="I40" s="58"/>
      <x:c r="J40" s="54" t="str">
        <x:f>IF(I40="","",IF(I40='答案与解析'!C40,1,0))</x:f>
      </x:c>
      <x:c r="K40" s="54" t="str">
        <x:f>IF(I40="","未作答",IF(J40=1,"正确","错误"))</x:f>
        <x:v>未作答</x:v>
      </x:c>
      <x:c r="L40" s="68"/>
    </x:row>
    <x:row r="41" ht="62" customHeight="1">
      <x:c r="A41" s="54" t="str">
        <x:v>RK037</x:v>
      </x:c>
      <x:c r="B41" s="54" t="str">
        <x:v>需求工程与UML</x:v>
      </x:c>
      <x:c r="C41" s="54" t="str">
        <x:v>A</x:v>
      </x:c>
      <x:c r="D41" s="54" t="str">
        <x:v>用例图中，只有满足条件时才触发的附加行为通常适合表示为？</x:v>
      </x:c>
      <x:c r="E41" s="54" t="str">
        <x:v>继承</x:v>
      </x:c>
      <x:c r="F41" s="54" t="str">
        <x:v>组合</x:v>
      </x:c>
      <x:c r="G41" s="54" t="str">
        <x:v>include关系</x:v>
      </x:c>
      <x:c r="H41" s="54" t="str">
        <x:v>extend关系</x:v>
      </x:c>
      <x:c r="I41" s="58"/>
      <x:c r="J41" s="54" t="str">
        <x:f>IF(I41="","",IF(I41='答案与解析'!C41,1,0))</x:f>
      </x:c>
      <x:c r="K41" s="54" t="str">
        <x:f>IF(I41="","未作答",IF(J41=1,"正确","错误"))</x:f>
        <x:v>未作答</x:v>
      </x:c>
      <x:c r="L41" s="68"/>
    </x:row>
    <x:row r="42" ht="62" customHeight="1">
      <x:c r="A42" s="54" t="str">
        <x:v>RK038</x:v>
      </x:c>
      <x:c r="B42" s="54" t="str">
        <x:v>系统规划与企业信息化</x:v>
      </x:c>
      <x:c r="C42" s="54" t="str">
        <x:v>B</x:v>
      </x:c>
      <x:c r="D42" s="54" t="str">
        <x:v>SWOT分析中的T表示？</x:v>
      </x:c>
      <x:c r="E42" s="54" t="str">
        <x:v>Threat外部威胁</x:v>
      </x:c>
      <x:c r="F42" s="54" t="str">
        <x:v>Technology技术</x:v>
      </x:c>
      <x:c r="G42" s="54" t="str">
        <x:v>Time时间</x:v>
      </x:c>
      <x:c r="H42" s="54" t="str">
        <x:v>Test测试</x:v>
      </x:c>
      <x:c r="I42" s="58"/>
      <x:c r="J42" s="54" t="str">
        <x:f>IF(I42="","",IF(I42='答案与解析'!C42,1,0))</x:f>
      </x:c>
      <x:c r="K42" s="54" t="str">
        <x:f>IF(I42="","未作答",IF(J42=1,"正确","错误"))</x:f>
        <x:v>未作答</x:v>
      </x:c>
      <x:c r="L42" s="68"/>
    </x:row>
    <x:row r="43" ht="62" customHeight="1">
      <x:c r="A43" s="54" t="str">
        <x:v>RK039</x:v>
      </x:c>
      <x:c r="B43" s="54" t="str">
        <x:v>软件工程与开发方法</x:v>
      </x:c>
      <x:c r="C43" s="54" t="str">
        <x:v>B</x:v>
      </x:c>
      <x:c r="D43" s="54" t="str">
        <x:v>Scrum中负责管理产品待办列表优先级的角色通常是？</x:v>
      </x:c>
      <x:c r="E43" s="54" t="str">
        <x:v>产品负责人PO</x:v>
      </x:c>
      <x:c r="F43" s="54" t="str">
        <x:v>测试经理</x:v>
      </x:c>
      <x:c r="G43" s="54" t="str">
        <x:v>数据库管理员</x:v>
      </x:c>
      <x:c r="H43" s="54" t="str">
        <x:v>网络工程师</x:v>
      </x:c>
      <x:c r="I43" s="58"/>
      <x:c r="J43" s="54" t="str">
        <x:f>IF(I43="","",IF(I43='答案与解析'!C43,1,0))</x:f>
      </x:c>
      <x:c r="K43" s="54" t="str">
        <x:f>IF(I43="","未作答",IF(J43=1,"正确","错误"))</x:f>
        <x:v>未作答</x:v>
      </x:c>
      <x:c r="L43" s="68"/>
    </x:row>
    <x:row r="44" ht="62" customHeight="1">
      <x:c r="A44" s="54" t="str">
        <x:v>RK040</x:v>
      </x:c>
      <x:c r="B44" s="54" t="str">
        <x:v>架构与设计模式</x:v>
      </x:c>
      <x:c r="C44" s="54" t="str">
        <x:v>A</x:v>
      </x:c>
      <x:c r="D44" s="54" t="str">
        <x:v>分层架构中，上层绕过服务层直接访问数据库的主要风险是？</x:v>
      </x:c>
      <x:c r="E44" s="54" t="str">
        <x:v>破坏分层隔离、增加耦合</x:v>
      </x:c>
      <x:c r="F44" s="54" t="str">
        <x:v>自动提升安全性</x:v>
      </x:c>
      <x:c r="G44" s="54" t="str">
        <x:v>提升数据库范式</x:v>
      </x:c>
      <x:c r="H44" s="54" t="str">
        <x:v>减少所有测试用例</x:v>
      </x:c>
      <x:c r="I44" s="58"/>
      <x:c r="J44" s="54" t="str">
        <x:f>IF(I44="","",IF(I44='答案与解析'!C44,1,0))</x:f>
      </x:c>
      <x:c r="K44" s="54" t="str">
        <x:f>IF(I44="","未作答",IF(J44=1,"正确","错误"))</x:f>
        <x:v>未作答</x:v>
      </x:c>
      <x:c r="L44" s="68"/>
    </x:row>
    <x:row r="45" ht="62" customHeight="1">
      <x:c r="A45" s="54" t="str">
        <x:v>RK041</x:v>
      </x:c>
      <x:c r="B45" s="54" t="str">
        <x:v>数据库与数据建模</x:v>
      </x:c>
      <x:c r="C45" s="54" t="str">
        <x:v>A</x:v>
      </x:c>
      <x:c r="D45" s="54" t="str">
        <x:v>若候选键A，且A→B、B→C，B不是超键，C为非主属性，通常违反？</x:v>
      </x:c>
      <x:c r="E45" s="54" t="str">
        <x:v>3NF</x:v>
      </x:c>
      <x:c r="F45" s="54" t="str">
        <x:v>1NF</x:v>
      </x:c>
      <x:c r="G45" s="54" t="str">
        <x:v>候选键定义</x:v>
      </x:c>
      <x:c r="H45" s="54" t="str">
        <x:v>索引唯一性</x:v>
      </x:c>
      <x:c r="I45" s="58"/>
      <x:c r="J45" s="54" t="str">
        <x:f>IF(I45="","",IF(I45='答案与解析'!C45,1,0))</x:f>
      </x:c>
      <x:c r="K45" s="54" t="str">
        <x:f>IF(I45="","未作答",IF(J45=1,"正确","错误"))</x:f>
        <x:v>未作答</x:v>
      </x:c>
      <x:c r="L45" s="68"/>
    </x:row>
    <x:row r="46" ht="62" customHeight="1">
      <x:c r="A46" s="54" t="str">
        <x:v>RK042</x:v>
      </x:c>
      <x:c r="B46" s="54" t="str">
        <x:v>软件测试与质量</x:v>
      </x:c>
      <x:c r="C46" s="54" t="str">
        <x:v>A</x:v>
      </x:c>
      <x:c r="D46" s="54" t="str">
        <x:v>输入年龄有效区间18~60岁，最典型的边界测试集是？</x:v>
      </x:c>
      <x:c r="E46" s="54" t="str">
        <x:v>25、30、35</x:v>
      </x:c>
      <x:c r="F46" s="54" t="str">
        <x:v>0、10、100</x:v>
      </x:c>
      <x:c r="G46" s="54" t="str">
        <x:v>18、20、22</x:v>
      </x:c>
      <x:c r="H46" s="54" t="str">
        <x:v>17、18、19、59、60、61</x:v>
      </x:c>
      <x:c r="I46" s="58"/>
      <x:c r="J46" s="54" t="str">
        <x:f>IF(I46="","",IF(I46='答案与解析'!C46,1,0))</x:f>
      </x:c>
      <x:c r="K46" s="54" t="str">
        <x:f>IF(I46="","未作答",IF(J46=1,"正确","错误"))</x:f>
        <x:v>未作答</x:v>
      </x:c>
      <x:c r="L46" s="68"/>
    </x:row>
    <x:row r="47" ht="62" customHeight="1">
      <x:c r="A47" s="54" t="str">
        <x:v>RK043</x:v>
      </x:c>
      <x:c r="B47" s="54" t="str">
        <x:v>网络分布式与高可用</x:v>
      </x:c>
      <x:c r="C47" s="54" t="str">
        <x:v>A</x:v>
      </x:c>
      <x:c r="D47" s="54" t="str">
        <x:v>服务调用频繁超时，断路器模式的主要目标是？</x:v>
      </x:c>
      <x:c r="E47" s="54" t="str">
        <x:v>快速失败并限制故障扩散</x:v>
      </x:c>
      <x:c r="F47" s="54" t="str">
        <x:v>确保永远不失败</x:v>
      </x:c>
      <x:c r="G47" s="54" t="str">
        <x:v>取消降级</x:v>
      </x:c>
      <x:c r="H47" s="54" t="str">
        <x:v>消除全部网络延迟</x:v>
      </x:c>
      <x:c r="I47" s="58"/>
      <x:c r="J47" s="54" t="str">
        <x:f>IF(I47="","",IF(I47='答案与解析'!C47,1,0))</x:f>
      </x:c>
      <x:c r="K47" s="54" t="str">
        <x:f>IF(I47="","未作答",IF(J47=1,"正确","错误"))</x:f>
        <x:v>未作答</x:v>
      </x:c>
      <x:c r="L47" s="68"/>
    </x:row>
    <x:row r="48" ht="62" customHeight="1">
      <x:c r="A48" s="54" t="str">
        <x:v>RK044</x:v>
      </x:c>
      <x:c r="B48" s="54" t="str">
        <x:v>安全合规与标准</x:v>
      </x:c>
      <x:c r="C48" s="54" t="str">
        <x:v>A</x:v>
      </x:c>
      <x:c r="D48" s="54" t="str">
        <x:v>RBAC权限模型依据？</x:v>
      </x:c>
      <x:c r="E48" s="54" t="str">
        <x:v>实时位置</x:v>
      </x:c>
      <x:c r="F48" s="54" t="str">
        <x:v>网络速度</x:v>
      </x:c>
      <x:c r="G48" s="54" t="str">
        <x:v>操作系统内核</x:v>
      </x:c>
      <x:c r="H48" s="54" t="str">
        <x:v>角色与角色绑定的权限进行授权</x:v>
      </x:c>
      <x:c r="I48" s="58"/>
      <x:c r="J48" s="54" t="str">
        <x:f>IF(I48="","",IF(I48='答案与解析'!C48,1,0))</x:f>
      </x:c>
      <x:c r="K48" s="54" t="str">
        <x:f>IF(I48="","未作答",IF(J48=1,"正确","错误"))</x:f>
        <x:v>未作答</x:v>
      </x:c>
      <x:c r="L48" s="68"/>
    </x:row>
    <x:row r="49" ht="62" customHeight="1">
      <x:c r="A49" s="54" t="str">
        <x:v>RK045</x:v>
      </x:c>
      <x:c r="B49" s="54" t="str">
        <x:v>计算机系统与操作系统</x:v>
      </x:c>
      <x:c r="C49" s="54" t="str">
        <x:v>B</x:v>
      </x:c>
      <x:c r="D49" s="54" t="str">
        <x:v>死锁产生的四个必要条件不包括？</x:v>
      </x:c>
      <x:c r="E49" s="54" t="str">
        <x:v>互斥</x:v>
      </x:c>
      <x:c r="F49" s="54" t="str">
        <x:v>请求并保持</x:v>
      </x:c>
      <x:c r="G49" s="54" t="str">
        <x:v>不可抢占</x:v>
      </x:c>
      <x:c r="H49" s="54" t="str">
        <x:v>请求到来先服务</x:v>
      </x:c>
      <x:c r="I49" s="58"/>
      <x:c r="J49" s="54" t="str">
        <x:f>IF(I49="","",IF(I49='答案与解析'!C49,1,0))</x:f>
      </x:c>
      <x:c r="K49" s="54" t="str">
        <x:f>IF(I49="","未作答",IF(J49=1,"正确","错误"))</x:f>
        <x:v>未作答</x:v>
      </x:c>
      <x:c r="L49" s="68"/>
    </x:row>
    <x:row r="50" ht="62" customHeight="1">
      <x:c r="A50" s="54" t="str">
        <x:v>RK046</x:v>
      </x:c>
      <x:c r="B50" s="54" t="str">
        <x:v>工程数学与项目管理</x:v>
      </x:c>
      <x:c r="C50" s="54" t="str">
        <x:v>B</x:v>
      </x:c>
      <x:c r="D50" s="54" t="str">
        <x:v>挣值管理中，EV=80、AC=100、PV=90（万元），成本偏差CV是多少？</x:v>
      </x:c>
      <x:c r="E50" s="54" t="str">
        <x:v>20万元</x:v>
      </x:c>
      <x:c r="F50" s="54" t="str">
        <x:v>-10万元</x:v>
      </x:c>
      <x:c r="G50" s="54" t="str">
        <x:v>10万元</x:v>
      </x:c>
      <x:c r="H50" s="54" t="str">
        <x:v>-20万元</x:v>
      </x:c>
      <x:c r="I50" s="58"/>
      <x:c r="J50" s="54" t="str">
        <x:f>IF(I50="","",IF(I50='答案与解析'!C50,1,0))</x:f>
      </x:c>
      <x:c r="K50" s="54" t="str">
        <x:f>IF(I50="","未作答",IF(J50=1,"正确","错误"))</x:f>
        <x:v>未作答</x:v>
      </x:c>
      <x:c r="L50" s="68"/>
    </x:row>
    <x:row r="51" ht="62" customHeight="1">
      <x:c r="A51" s="54" t="str">
        <x:v>RK047</x:v>
      </x:c>
      <x:c r="B51" s="54" t="str">
        <x:v>云原生微服务与AI</x:v>
      </x:c>
      <x:c r="C51" s="54" t="str">
        <x:v>B</x:v>
      </x:c>
      <x:c r="D51" s="54" t="str">
        <x:v>灰度发布的主要作用是？</x:v>
      </x:c>
      <x:c r="E51" s="54" t="str">
        <x:v>一次性覆盖所有用户</x:v>
      </x:c>
      <x:c r="F51" s="54" t="str">
        <x:v>免去监控</x:v>
      </x:c>
      <x:c r="G51" s="54" t="str">
        <x:v>将版本号隐藏</x:v>
      </x:c>
      <x:c r="H51" s="54" t="str">
        <x:v>让有限流量先验证新版本并可回滚</x:v>
      </x:c>
      <x:c r="I51" s="58"/>
      <x:c r="J51" s="54" t="str">
        <x:f>IF(I51="","",IF(I51='答案与解析'!C51,1,0))</x:f>
      </x:c>
      <x:c r="K51" s="54" t="str">
        <x:f>IF(I51="","未作答",IF(J51=1,"正确","错误"))</x:f>
        <x:v>未作答</x:v>
      </x:c>
      <x:c r="L51" s="68"/>
    </x:row>
    <x:row r="52" ht="62" customHeight="1">
      <x:c r="A52" s="54" t="str">
        <x:v>RK048</x:v>
      </x:c>
      <x:c r="B52" s="54" t="str">
        <x:v>需求工程与UML</x:v>
      </x:c>
      <x:c r="C52" s="54" t="str">
        <x:v>A</x:v>
      </x:c>
      <x:c r="D52" s="54" t="str">
        <x:v>用例图中，多种业务流程都必须执行的“校验身份”可建模为？</x:v>
      </x:c>
      <x:c r="E52" s="54" t="str">
        <x:v>include关系</x:v>
      </x:c>
      <x:c r="F52" s="54" t="str">
        <x:v>extend关系</x:v>
      </x:c>
      <x:c r="G52" s="54" t="str">
        <x:v>依赖倒置</x:v>
      </x:c>
      <x:c r="H52" s="54" t="str">
        <x:v>多重继承</x:v>
      </x:c>
      <x:c r="I52" s="58"/>
      <x:c r="J52" s="54" t="str">
        <x:f>IF(I52="","",IF(I52='答案与解析'!C52,1,0))</x:f>
      </x:c>
      <x:c r="K52" s="54" t="str">
        <x:f>IF(I52="","未作答",IF(J52=1,"正确","错误"))</x:f>
        <x:v>未作答</x:v>
      </x:c>
      <x:c r="L52" s="68"/>
    </x:row>
    <x:row r="53" ht="62" customHeight="1">
      <x:c r="A53" s="54" t="str">
        <x:v>RK049</x:v>
      </x:c>
      <x:c r="B53" s="54" t="str">
        <x:v>系统规划与企业信息化</x:v>
      </x:c>
      <x:c r="C53" s="54" t="str">
        <x:v>B</x:v>
      </x:c>
      <x:c r="D53" s="54" t="str">
        <x:v>价值链分析主要用于？</x:v>
      </x:c>
      <x:c r="E53" s="54" t="str">
        <x:v>精确估算CPU主频</x:v>
      </x:c>
      <x:c r="F53" s="54" t="str">
        <x:v>识别创造价值的业务活动及竞争优势来源</x:v>
      </x:c>
      <x:c r="G53" s="54" t="str">
        <x:v>给网段分配IP</x:v>
      </x:c>
      <x:c r="H53" s="54" t="str">
        <x:v>安排线程锁</x:v>
      </x:c>
      <x:c r="I53" s="58"/>
      <x:c r="J53" s="54" t="str">
        <x:f>IF(I53="","",IF(I53='答案与解析'!C53,1,0))</x:f>
      </x:c>
      <x:c r="K53" s="54" t="str">
        <x:f>IF(I53="","未作答",IF(J53=1,"正确","错误"))</x:f>
        <x:v>未作答</x:v>
      </x:c>
      <x:c r="L53" s="68"/>
    </x:row>
    <x:row r="54" ht="62" customHeight="1">
      <x:c r="A54" s="54" t="str">
        <x:v>RK050</x:v>
      </x:c>
      <x:c r="B54" s="54" t="str">
        <x:v>软件工程与开发方法</x:v>
      </x:c>
      <x:c r="C54" s="54" t="str">
        <x:v>B</x:v>
      </x:c>
      <x:c r="D54" s="54" t="str">
        <x:v>技术债务通常是指？</x:v>
      </x:c>
      <x:c r="E54" s="54" t="str">
        <x:v>所有硬件购置费用</x:v>
      </x:c>
      <x:c r="F54" s="54" t="str">
        <x:v>为了短期速度牺牲设计质量而形成的后续维护成本</x:v>
      </x:c>
      <x:c r="G54" s="54" t="str">
        <x:v>仅与会计有关</x:v>
      </x:c>
      <x:c r="H54" s="54" t="str">
        <x:v>只代表业务贷款</x:v>
      </x:c>
      <x:c r="I54" s="58"/>
      <x:c r="J54" s="54" t="str">
        <x:f>IF(I54="","",IF(I54='答案与解析'!C54,1,0))</x:f>
      </x:c>
      <x:c r="K54" s="54" t="str">
        <x:f>IF(I54="","未作答",IF(J54=1,"正确","错误"))</x:f>
        <x:v>未作答</x:v>
      </x:c>
      <x:c r="L54" s="68"/>
    </x:row>
    <x:row r="55" ht="62" customHeight="1">
      <x:c r="A55" s="54" t="str">
        <x:v>RK051</x:v>
      </x:c>
      <x:c r="B55" s="54" t="str">
        <x:v>架构与设计模式</x:v>
      </x:c>
      <x:c r="C55" s="54" t="str">
        <x:v>A</x:v>
      </x:c>
      <x:c r="D55" s="54" t="str">
        <x:v>需要给旧系统提供统一的新接口，常用哪种模式？</x:v>
      </x:c>
      <x:c r="E55" s="54" t="str">
        <x:v>观察者</x:v>
      </x:c>
      <x:c r="F55" s="54" t="str">
        <x:v>适配器</x:v>
      </x:c>
      <x:c r="G55" s="54" t="str">
        <x:v>备忘录</x:v>
      </x:c>
      <x:c r="H55" s="54" t="str">
        <x:v>迭代器</x:v>
      </x:c>
      <x:c r="I55" s="58"/>
      <x:c r="J55" s="54" t="str">
        <x:f>IF(I55="","",IF(I55='答案与解析'!C55,1,0))</x:f>
      </x:c>
      <x:c r="K55" s="54" t="str">
        <x:f>IF(I55="","未作答",IF(J55=1,"正确","错误"))</x:f>
        <x:v>未作答</x:v>
      </x:c>
      <x:c r="L55" s="68"/>
    </x:row>
    <x:row r="56" ht="62" customHeight="1">
      <x:c r="A56" s="54" t="str">
        <x:v>RK052</x:v>
      </x:c>
      <x:c r="B56" s="54" t="str">
        <x:v>数据库与数据建模</x:v>
      </x:c>
      <x:c r="C56" s="54" t="str">
        <x:v>A</x:v>
      </x:c>
      <x:c r="D56" s="54" t="str">
        <x:v>BCNF较3NF更严格的主要条件是？</x:v>
      </x:c>
      <x:c r="E56" s="54" t="str">
        <x:v>每个表必须只有2列</x:v>
      </x:c>
      <x:c r="F56" s="54" t="str">
        <x:v>每个非平凡函数依赖X→Y的X都是超键</x:v>
      </x:c>
      <x:c r="G56" s="54" t="str">
        <x:v>所有字段必须为整数</x:v>
      </x:c>
      <x:c r="H56" s="54" t="str">
        <x:v>禁止任何外键</x:v>
      </x:c>
      <x:c r="I56" s="58"/>
      <x:c r="J56" s="54" t="str">
        <x:f>IF(I56="","",IF(I56='答案与解析'!C56,1,0))</x:f>
      </x:c>
      <x:c r="K56" s="54" t="str">
        <x:f>IF(I56="","未作答",IF(J56=1,"正确","错误"))</x:f>
        <x:v>未作答</x:v>
      </x:c>
      <x:c r="L56" s="68"/>
    </x:row>
    <x:row r="57" ht="62" customHeight="1">
      <x:c r="A57" s="54" t="str">
        <x:v>RK053</x:v>
      </x:c>
      <x:c r="B57" s="54" t="str">
        <x:v>软件测试与质量</x:v>
      </x:c>
      <x:c r="C57" s="54" t="str">
        <x:v>A</x:v>
      </x:c>
      <x:c r="D57" s="54" t="str">
        <x:v>“用户等级”和“是否实名”组合决定优惠规则，适合？</x:v>
      </x:c>
      <x:c r="E57" s="54" t="str">
        <x:v>判定表法</x:v>
      </x:c>
      <x:c r="F57" s="54" t="str">
        <x:v>循环展开</x:v>
      </x:c>
      <x:c r="G57" s="54" t="str">
        <x:v>最短路径</x:v>
      </x:c>
      <x:c r="H57" s="54" t="str">
        <x:v>内存分页</x:v>
      </x:c>
      <x:c r="I57" s="58"/>
      <x:c r="J57" s="54" t="str">
        <x:f>IF(I57="","",IF(I57='答案与解析'!C57,1,0))</x:f>
      </x:c>
      <x:c r="K57" s="54" t="str">
        <x:f>IF(I57="","未作答",IF(J57=1,"正确","错误"))</x:f>
        <x:v>未作答</x:v>
      </x:c>
      <x:c r="L57" s="68"/>
    </x:row>
    <x:row r="58" ht="62" customHeight="1">
      <x:c r="A58" s="54" t="str">
        <x:v>RK054</x:v>
      </x:c>
      <x:c r="B58" s="54" t="str">
        <x:v>网络分布式与高可用</x:v>
      </x:c>
      <x:c r="C58" s="54" t="str">
        <x:v>A</x:v>
      </x:c>
      <x:c r="D58" s="54" t="str">
        <x:v>幂等接口是指？</x:v>
      </x:c>
      <x:c r="E58" s="54" t="str">
        <x:v>只能被调用一次</x:v>
      </x:c>
      <x:c r="F58" s="54" t="str">
        <x:v>同样请求执行多次的业务效果与执行一次相同</x:v>
      </x:c>
      <x:c r="G58" s="54" t="str">
        <x:v>必须使用GET</x:v>
      </x:c>
      <x:c r="H58" s="54" t="str">
        <x:v>结果永不变化</x:v>
      </x:c>
      <x:c r="I58" s="58"/>
      <x:c r="J58" s="54" t="str">
        <x:f>IF(I58="","",IF(I58='答案与解析'!C58,1,0))</x:f>
      </x:c>
      <x:c r="K58" s="54" t="str">
        <x:f>IF(I58="","未作答",IF(J58=1,"正确","错误"))</x:f>
        <x:v>未作答</x:v>
      </x:c>
      <x:c r="L58" s="68"/>
    </x:row>
    <x:row r="59" ht="62" customHeight="1">
      <x:c r="A59" s="54" t="str">
        <x:v>RK055</x:v>
      </x:c>
      <x:c r="B59" s="54" t="str">
        <x:v>安全合规与标准</x:v>
      </x:c>
      <x:c r="C59" s="54" t="str">
        <x:v>A</x:v>
      </x:c>
      <x:c r="D59" s="54" t="str">
        <x:v>ABAC相对RBAC的主要增强是？</x:v>
      </x:c>
      <x:c r="E59" s="54" t="str">
        <x:v>能结合主体、资源、动作和环境属性进行细粒度授权</x:v>
      </x:c>
      <x:c r="F59" s="54" t="str">
        <x:v>只能按岗位角色判断</x:v>
      </x:c>
      <x:c r="G59" s="54" t="str">
        <x:v>无需制定策略</x:v>
      </x:c>
      <x:c r="H59" s="54" t="str">
        <x:v>不支持时间和位置</x:v>
      </x:c>
      <x:c r="I59" s="58"/>
      <x:c r="J59" s="54" t="str">
        <x:f>IF(I59="","",IF(I59='答案与解析'!C59,1,0))</x:f>
      </x:c>
      <x:c r="K59" s="54" t="str">
        <x:f>IF(I59="","未作答",IF(J59=1,"正确","错误"))</x:f>
        <x:v>未作答</x:v>
      </x:c>
      <x:c r="L59" s="68"/>
    </x:row>
    <x:row r="60" ht="62" customHeight="1">
      <x:c r="A60" s="54" t="str">
        <x:v>RK056</x:v>
      </x:c>
      <x:c r="B60" s="54" t="str">
        <x:v>计算机系统与操作系统</x:v>
      </x:c>
      <x:c r="C60" s="54" t="str">
        <x:v>B</x:v>
      </x:c>
      <x:c r="D60" s="54" t="str">
        <x:v>进程和线程通常的关系是？</x:v>
      </x:c>
      <x:c r="E60" s="54" t="str">
        <x:v>同一进程内线程共享部分进程资源但各有执行上下文</x:v>
      </x:c>
      <x:c r="F60" s="54" t="str">
        <x:v>线程一定有独立虚拟地址空间</x:v>
      </x:c>
      <x:c r="G60" s="54" t="str">
        <x:v>进程之间直接共享全部内存</x:v>
      </x:c>
      <x:c r="H60" s="54" t="str">
        <x:v>线程不能并发</x:v>
      </x:c>
      <x:c r="I60" s="58"/>
      <x:c r="J60" s="54" t="str">
        <x:f>IF(I60="","",IF(I60='答案与解析'!C60,1,0))</x:f>
      </x:c>
      <x:c r="K60" s="54" t="str">
        <x:f>IF(I60="","未作答",IF(J60=1,"正确","错误"))</x:f>
        <x:v>未作答</x:v>
      </x:c>
      <x:c r="L60" s="68"/>
    </x:row>
    <x:row r="61" ht="62" customHeight="1">
      <x:c r="A61" s="54" t="str">
        <x:v>RK057</x:v>
      </x:c>
      <x:c r="B61" s="54" t="str">
        <x:v>工程数学与项目管理</x:v>
      </x:c>
      <x:c r="C61" s="54" t="str">
        <x:v>B</x:v>
      </x:c>
      <x:c r="D61" s="54" t="str">
        <x:v>同一情形下进度绩效指数SPI约为？</x:v>
      </x:c>
      <x:c r="E61" s="54" t="str">
        <x:v>0.89</x:v>
      </x:c>
      <x:c r="F61" s="54" t="str">
        <x:v>1.25</x:v>
      </x:c>
      <x:c r="G61" s="54" t="str">
        <x:v>1.11</x:v>
      </x:c>
      <x:c r="H61" s="54" t="str">
        <x:v>0.80</x:v>
      </x:c>
      <x:c r="I61" s="58"/>
      <x:c r="J61" s="54" t="str">
        <x:f>IF(I61="","",IF(I61='答案与解析'!C61,1,0))</x:f>
      </x:c>
      <x:c r="K61" s="54" t="str">
        <x:f>IF(I61="","未作答",IF(J61=1,"正确","错误"))</x:f>
        <x:v>未作答</x:v>
      </x:c>
      <x:c r="L61" s="68"/>
    </x:row>
    <x:row r="62" ht="62" customHeight="1">
      <x:c r="A62" s="54" t="str">
        <x:v>RK058</x:v>
      </x:c>
      <x:c r="B62" s="54" t="str">
        <x:v>云原生微服务与AI</x:v>
      </x:c>
      <x:c r="C62" s="54" t="str">
        <x:v>B</x:v>
      </x:c>
      <x:c r="D62" s="54" t="str">
        <x:v>基础设施即代码IaC主要优势是？</x:v>
      </x:c>
      <x:c r="E62" s="54" t="str">
        <x:v>可版本控制、复现和审计环境配置</x:v>
      </x:c>
      <x:c r="F62" s="54" t="str">
        <x:v>不需要任何权限治理</x:v>
      </x:c>
      <x:c r="G62" s="54" t="str">
        <x:v>永久杜绝配置错误</x:v>
      </x:c>
      <x:c r="H62" s="54" t="str">
        <x:v>只适用于桌面软件</x:v>
      </x:c>
      <x:c r="I62" s="58"/>
      <x:c r="J62" s="54" t="str">
        <x:f>IF(I62="","",IF(I62='答案与解析'!C62,1,0))</x:f>
      </x:c>
      <x:c r="K62" s="54" t="str">
        <x:f>IF(I62="","未作答",IF(J62=1,"正确","错误"))</x:f>
        <x:v>未作答</x:v>
      </x:c>
      <x:c r="L62" s="68"/>
    </x:row>
    <x:row r="63" ht="62" customHeight="1">
      <x:c r="A63" s="54" t="str">
        <x:v>RK059</x:v>
      </x:c>
      <x:c r="B63" s="54" t="str">
        <x:v>需求工程与UML</x:v>
      </x:c>
      <x:c r="C63" s="54" t="str">
        <x:v>A</x:v>
      </x:c>
      <x:c r="D63" s="54" t="str">
        <x:v>顺序图最关注？</x:v>
      </x:c>
      <x:c r="E63" s="54" t="str">
        <x:v>对象交互消息的先后次序</x:v>
      </x:c>
      <x:c r="F63" s="54" t="str">
        <x:v>数据表的主外键</x:v>
      </x:c>
      <x:c r="G63" s="54" t="str">
        <x:v>代码函数的复杂度</x:v>
      </x:c>
      <x:c r="H63" s="54" t="str">
        <x:v>部署节点的地理位置</x:v>
      </x:c>
      <x:c r="I63" s="58"/>
      <x:c r="J63" s="54" t="str">
        <x:f>IF(I63="","",IF(I63='答案与解析'!C63,1,0))</x:f>
      </x:c>
      <x:c r="K63" s="54" t="str">
        <x:f>IF(I63="","未作答",IF(J63=1,"正确","错误"))</x:f>
        <x:v>未作答</x:v>
      </x:c>
      <x:c r="L63" s="68"/>
    </x:row>
    <x:row r="64" ht="62" customHeight="1">
      <x:c r="A64" s="54" t="str">
        <x:v>RK060</x:v>
      </x:c>
      <x:c r="B64" s="54" t="str">
        <x:v>系统规划与企业信息化</x:v>
      </x:c>
      <x:c r="C64" s="54" t="str">
        <x:v>B</x:v>
      </x:c>
      <x:c r="D64" s="54" t="str">
        <x:v>企业架构中，描述业务能力、流程和组织的通常是？</x:v>
      </x:c>
      <x:c r="E64" s="54" t="str">
        <x:v>技术架构</x:v>
      </x:c>
      <x:c r="F64" s="54" t="str">
        <x:v>物理架构</x:v>
      </x:c>
      <x:c r="G64" s="54" t="str">
        <x:v>业务架构</x:v>
      </x:c>
      <x:c r="H64" s="54" t="str">
        <x:v>存储架构</x:v>
      </x:c>
      <x:c r="I64" s="58"/>
      <x:c r="J64" s="54" t="str">
        <x:f>IF(I64="","",IF(I64='答案与解析'!C64,1,0))</x:f>
      </x:c>
      <x:c r="K64" s="54" t="str">
        <x:f>IF(I64="","未作答",IF(J64=1,"正确","错误"))</x:f>
        <x:v>未作答</x:v>
      </x:c>
      <x:c r="L64" s="68"/>
    </x:row>
    <x:row r="65" ht="62" customHeight="1">
      <x:c r="A65" s="54" t="str">
        <x:v>RK061</x:v>
      </x:c>
      <x:c r="B65" s="54" t="str">
        <x:v>软件工程与开发方法</x:v>
      </x:c>
      <x:c r="C65" s="54" t="str">
        <x:v>B</x:v>
      </x:c>
      <x:c r="D65" s="54" t="str">
        <x:v>高内聚低耦合的核心意义是？</x:v>
      </x:c>
      <x:c r="E65" s="54" t="str">
        <x:v>所有模块共享全局变量</x:v>
      </x:c>
      <x:c r="F65" s="54" t="str">
        <x:v>让系统只剩一个模块</x:v>
      </x:c>
      <x:c r="G65" s="54" t="str">
        <x:v>降低变更传播并改善维护性</x:v>
      </x:c>
      <x:c r="H65" s="54" t="str">
        <x:v>消除任何接口</x:v>
      </x:c>
      <x:c r="I65" s="58"/>
      <x:c r="J65" s="54" t="str">
        <x:f>IF(I65="","",IF(I65='答案与解析'!C65,1,0))</x:f>
      </x:c>
      <x:c r="K65" s="54" t="str">
        <x:f>IF(I65="","未作答",IF(J65=1,"正确","错误"))</x:f>
        <x:v>未作答</x:v>
      </x:c>
      <x:c r="L65" s="68"/>
    </x:row>
    <x:row r="66" ht="62" customHeight="1">
      <x:c r="A66" s="54" t="str">
        <x:v>RK062</x:v>
      </x:c>
      <x:c r="B66" s="54" t="str">
        <x:v>架构与设计模式</x:v>
      </x:c>
      <x:c r="C66" s="54" t="str">
        <x:v>A</x:v>
      </x:c>
      <x:c r="D66" s="54" t="str">
        <x:v>对象状态改变后需要自动通知多个订阅者，使用？</x:v>
      </x:c>
      <x:c r="E66" s="54" t="str">
        <x:v>单例</x:v>
      </x:c>
      <x:c r="F66" s="54" t="str">
        <x:v>抽象工厂</x:v>
      </x:c>
      <x:c r="G66" s="54" t="str">
        <x:v>观察者模式</x:v>
      </x:c>
      <x:c r="H66" s="54" t="str">
        <x:v>代理模式</x:v>
      </x:c>
      <x:c r="I66" s="58"/>
      <x:c r="J66" s="54" t="str">
        <x:f>IF(I66="","",IF(I66='答案与解析'!C66,1,0))</x:f>
      </x:c>
      <x:c r="K66" s="54" t="str">
        <x:f>IF(I66="","未作答",IF(J66=1,"正确","错误"))</x:f>
        <x:v>未作答</x:v>
      </x:c>
      <x:c r="L66" s="68"/>
    </x:row>
    <x:row r="67" ht="62" customHeight="1">
      <x:c r="A67" s="54" t="str">
        <x:v>RK063</x:v>
      </x:c>
      <x:c r="B67" s="54" t="str">
        <x:v>数据库与数据建模</x:v>
      </x:c>
      <x:c r="C67" s="54" t="str">
        <x:v>A</x:v>
      </x:c>
      <x:c r="D67" s="54" t="str">
        <x:v>ACID中隔离性Isolation的核心含义是？</x:v>
      </x:c>
      <x:c r="E67" s="54" t="str">
        <x:v>数据库自动压缩</x:v>
      </x:c>
      <x:c r="F67" s="54" t="str">
        <x:v>只加密机密字段</x:v>
      </x:c>
      <x:c r="G67" s="54" t="str">
        <x:v>并发事务相互隔离，避免不当干扰</x:v>
      </x:c>
      <x:c r="H67" s="54" t="str">
        <x:v>断电后必然丢数据</x:v>
      </x:c>
      <x:c r="I67" s="58"/>
      <x:c r="J67" s="54" t="str">
        <x:f>IF(I67="","",IF(I67='答案与解析'!C67,1,0))</x:f>
      </x:c>
      <x:c r="K67" s="54" t="str">
        <x:f>IF(I67="","未作答",IF(J67=1,"正确","错误"))</x:f>
        <x:v>未作答</x:v>
      </x:c>
      <x:c r="L67" s="68"/>
    </x:row>
    <x:row r="68" ht="62" customHeight="1">
      <x:c r="A68" s="54" t="str">
        <x:v>RK064</x:v>
      </x:c>
      <x:c r="B68" s="54" t="str">
        <x:v>软件测试与质量</x:v>
      </x:c>
      <x:c r="C68" s="54" t="str">
        <x:v>A</x:v>
      </x:c>
      <x:c r="D68" s="54" t="str">
        <x:v>对程序修改后，验证原本正常的功能未被破坏，叫？</x:v>
      </x:c>
      <x:c r="E68" s="54" t="str">
        <x:v>验收测试</x:v>
      </x:c>
      <x:c r="F68" s="54" t="str">
        <x:v>回归测试</x:v>
      </x:c>
      <x:c r="G68" s="54" t="str">
        <x:v>压力测试</x:v>
      </x:c>
      <x:c r="H68" s="54" t="str">
        <x:v>安装测试</x:v>
      </x:c>
      <x:c r="I68" s="58"/>
      <x:c r="J68" s="54" t="str">
        <x:f>IF(I68="","",IF(I68='答案与解析'!C68,1,0))</x:f>
      </x:c>
      <x:c r="K68" s="54" t="str">
        <x:f>IF(I68="","未作答",IF(J68=1,"正确","错误"))</x:f>
        <x:v>未作答</x:v>
      </x:c>
      <x:c r="L68" s="68"/>
    </x:row>
    <x:row r="69" ht="62" customHeight="1">
      <x:c r="A69" s="54" t="str">
        <x:v>RK065</x:v>
      </x:c>
      <x:c r="B69" s="54" t="str">
        <x:v>网络分布式与高可用</x:v>
      </x:c>
      <x:c r="C69" s="54" t="str">
        <x:v>A</x:v>
      </x:c>
      <x:c r="D69" s="54" t="str">
        <x:v>消息队列“至少一次投递”要求消费者特别注意？</x:v>
      </x:c>
      <x:c r="E69" s="54" t="str">
        <x:v>消息不会重复</x:v>
      </x:c>
      <x:c r="F69" s="54" t="str">
        <x:v>无需持久化</x:v>
      </x:c>
      <x:c r="G69" s="54" t="str">
        <x:v>重复消息处理与幂等性</x:v>
      </x:c>
      <x:c r="H69" s="54" t="str">
        <x:v>直接取消监控</x:v>
      </x:c>
      <x:c r="I69" s="58"/>
      <x:c r="J69" s="54" t="str">
        <x:f>IF(I69="","",IF(I69='答案与解析'!C69,1,0))</x:f>
      </x:c>
      <x:c r="K69" s="54" t="str">
        <x:f>IF(I69="","未作答",IF(J69=1,"正确","错误"))</x:f>
        <x:v>未作答</x:v>
      </x:c>
      <x:c r="L69" s="68"/>
    </x:row>
    <x:row r="70" ht="62" customHeight="1">
      <x:c r="A70" s="54" t="str">
        <x:v>RK066</x:v>
      </x:c>
      <x:c r="B70" s="54" t="str">
        <x:v>安全合规与标准</x:v>
      </x:c>
      <x:c r="C70" s="54" t="str">
        <x:v>A</x:v>
      </x:c>
      <x:c r="D70" s="54" t="str">
        <x:v>最小权限原则强调？</x:v>
      </x:c>
      <x:c r="E70" s="54" t="str">
        <x:v>所有员工都使用管理员账户</x:v>
      </x:c>
      <x:c r="F70" s="54" t="str">
        <x:v>仅赋予完成工作所需的最低权限</x:v>
      </x:c>
      <x:c r="G70" s="54" t="str">
        <x:v>长期保留离职账户权限</x:v>
      </x:c>
      <x:c r="H70" s="54" t="str">
        <x:v>避免记录安全日志</x:v>
      </x:c>
      <x:c r="I70" s="58"/>
      <x:c r="J70" s="54" t="str">
        <x:f>IF(I70="","",IF(I70='答案与解析'!C70,1,0))</x:f>
      </x:c>
      <x:c r="K70" s="54" t="str">
        <x:f>IF(I70="","未作答",IF(J70=1,"正确","错误"))</x:f>
        <x:v>未作答</x:v>
      </x:c>
      <x:c r="L70" s="68"/>
    </x:row>
    <x:row r="71" ht="62" customHeight="1">
      <x:c r="A71" s="54" t="str">
        <x:v>RK067</x:v>
      </x:c>
      <x:c r="B71" s="54" t="str">
        <x:v>云原生微服务与AI</x:v>
      </x:c>
      <x:c r="C71" s="54" t="str">
        <x:v>B</x:v>
      </x:c>
      <x:c r="D71" s="54" t="str">
        <x:v>RAG（检索增强生成）主要通过什么改善大模型回答？</x:v>
      </x:c>
      <x:c r="E71" s="54" t="str">
        <x:v>增加随机性</x:v>
      </x:c>
      <x:c r="F71" s="54" t="str">
        <x:v>检索外部知识后作为生成上下文</x:v>
      </x:c>
      <x:c r="G71" s="54" t="str">
        <x:v>将所有数据写入模型权重</x:v>
      </x:c>
      <x:c r="H71" s="54" t="str">
        <x:v>取消事实校验</x:v>
      </x:c>
      <x:c r="I71" s="58"/>
      <x:c r="J71" s="54" t="str">
        <x:f>IF(I71="","",IF(I71='答案与解析'!C71,1,0))</x:f>
      </x:c>
      <x:c r="K71" s="54" t="str">
        <x:f>IF(I71="","未作答",IF(J71=1,"正确","错误"))</x:f>
        <x:v>未作答</x:v>
      </x:c>
      <x:c r="L71" s="68"/>
    </x:row>
    <x:row r="72" ht="62" customHeight="1">
      <x:c r="A72" s="54" t="str">
        <x:v>RK068</x:v>
      </x:c>
      <x:c r="B72" s="54" t="str">
        <x:v>需求工程与UML</x:v>
      </x:c>
      <x:c r="C72" s="54" t="str">
        <x:v>A</x:v>
      </x:c>
      <x:c r="D72" s="54" t="str">
        <x:v>状态图更适合描述下列哪个对象？</x:v>
      </x:c>
      <x:c r="E72" s="54" t="str">
        <x:v>静态菜单目录</x:v>
      </x:c>
      <x:c r="F72" s="54" t="str">
        <x:v>订单在待支付、已付款、已退款间的变化</x:v>
      </x:c>
      <x:c r="G72" s="54" t="str">
        <x:v>开发人员组织架构</x:v>
      </x:c>
      <x:c r="H72" s="54" t="str">
        <x:v>机房网络布线</x:v>
      </x:c>
      <x:c r="I72" s="58"/>
      <x:c r="J72" s="54" t="str">
        <x:f>IF(I72="","",IF(I72='答案与解析'!C72,1,0))</x:f>
      </x:c>
      <x:c r="K72" s="54" t="str">
        <x:f>IF(I72="","未作答",IF(J72=1,"正确","错误"))</x:f>
        <x:v>未作答</x:v>
      </x:c>
      <x:c r="L72" s="68"/>
    </x:row>
    <x:row r="73" ht="62" customHeight="1">
      <x:c r="A73" s="54" t="str">
        <x:v>RK069</x:v>
      </x:c>
      <x:c r="B73" s="54" t="str">
        <x:v>架构与设计模式</x:v>
      </x:c>
      <x:c r="C73" s="54" t="str">
        <x:v>A</x:v>
      </x:c>
      <x:c r="D73" s="54" t="str">
        <x:v>需要在不修改已有核心算法的前提下切换计费算法，适合？</x:v>
      </x:c>
      <x:c r="E73" s="54" t="str">
        <x:v>外观模式</x:v>
      </x:c>
      <x:c r="F73" s="54" t="str">
        <x:v>备忘录模式</x:v>
      </x:c>
      <x:c r="G73" s="54" t="str">
        <x:v>原型模式</x:v>
      </x:c>
      <x:c r="H73" s="54" t="str">
        <x:v>策略模式</x:v>
      </x:c>
      <x:c r="I73" s="58"/>
      <x:c r="J73" s="54" t="str">
        <x:f>IF(I73="","",IF(I73='答案与解析'!C73,1,0))</x:f>
      </x:c>
      <x:c r="K73" s="54" t="str">
        <x:f>IF(I73="","未作答",IF(J73=1,"正确","错误"))</x:f>
        <x:v>未作答</x:v>
      </x:c>
      <x:c r="L73" s="68"/>
    </x:row>
    <x:row r="74" ht="62" customHeight="1">
      <x:c r="A74" s="54" t="str">
        <x:v>RK070</x:v>
      </x:c>
      <x:c r="B74" s="54" t="str">
        <x:v>数据库与数据建模</x:v>
      </x:c>
      <x:c r="C74" s="54" t="str">
        <x:v>A</x:v>
      </x:c>
      <x:c r="D74" s="54" t="str">
        <x:v>事务提交后数据应能持久保存，对应？</x:v>
      </x:c>
      <x:c r="E74" s="54" t="str">
        <x:v>Atomicity</x:v>
      </x:c>
      <x:c r="F74" s="54" t="str">
        <x:v>Consistency</x:v>
      </x:c>
      <x:c r="G74" s="54" t="str">
        <x:v>Isolation</x:v>
      </x:c>
      <x:c r="H74" s="54" t="str">
        <x:v>Durability</x:v>
      </x:c>
      <x:c r="I74" s="58"/>
      <x:c r="J74" s="54" t="str">
        <x:f>IF(I74="","",IF(I74='答案与解析'!C74,1,0))</x:f>
      </x:c>
      <x:c r="K74" s="54" t="str">
        <x:f>IF(I74="","未作答",IF(J74=1,"正确","错误"))</x:f>
        <x:v>未作答</x:v>
      </x:c>
      <x:c r="L74" s="68"/>
    </x:row>
    <x:row r="75" ht="62" customHeight="1">
      <x:c r="A75" s="54" t="str">
        <x:v>RK071</x:v>
      </x:c>
      <x:c r="B75" s="54" t="str">
        <x:v>软件测试与质量</x:v>
      </x:c>
      <x:c r="C75" s="54" t="str">
        <x:v>A</x:v>
      </x:c>
      <x:c r="D75" s="54" t="str">
        <x:v>性能测试中P95=800ms通常表示？</x:v>
      </x:c>
      <x:c r="E75" s="54" t="str">
        <x:v>所有请求都少于800ms</x:v>
      </x:c>
      <x:c r="F75" s="54" t="str">
        <x:v>只有5%请求小于800ms</x:v>
      </x:c>
      <x:c r="G75" s="54" t="str">
        <x:v>约95%的请求耗时不超过800ms</x:v>
      </x:c>
      <x:c r="H75" s="54" t="str">
        <x:v>平均时延必定是800ms</x:v>
      </x:c>
      <x:c r="I75" s="58"/>
      <x:c r="J75" s="54" t="str">
        <x:f>IF(I75="","",IF(I75='答案与解析'!C75,1,0))</x:f>
      </x:c>
      <x:c r="K75" s="54" t="str">
        <x:f>IF(I75="","未作答",IF(J75=1,"正确","错误"))</x:f>
        <x:v>未作答</x:v>
      </x:c>
      <x:c r="L75" s="68"/>
    </x:row>
    <x:row r="76" ht="62" customHeight="1">
      <x:c r="A76" s="54" t="str">
        <x:v>RK072</x:v>
      </x:c>
      <x:c r="B76" s="54" t="str">
        <x:v>网络分布式与高可用</x:v>
      </x:c>
      <x:c r="C76" s="54" t="str">
        <x:v>A</x:v>
      </x:c>
      <x:c r="D76" s="54" t="str">
        <x:v>CAP中网络分区出现时，系统必须在什么之间权衡？</x:v>
      </x:c>
      <x:c r="E76" s="54" t="str">
        <x:v>成本与进度</x:v>
      </x:c>
      <x:c r="F76" s="54" t="str">
        <x:v>吞吐与能耗</x:v>
      </x:c>
      <x:c r="G76" s="54" t="str">
        <x:v>CPU和内存</x:v>
      </x:c>
      <x:c r="H76" s="54" t="str">
        <x:v>一致性与可用性</x:v>
      </x:c>
      <x:c r="I76" s="58"/>
      <x:c r="J76" s="54" t="str">
        <x:f>IF(I76="","",IF(I76='答案与解析'!C76,1,0))</x:f>
      </x:c>
      <x:c r="K76" s="54" t="str">
        <x:f>IF(I76="","未作答",IF(J76=1,"正确","错误"))</x:f>
        <x:v>未作答</x:v>
      </x:c>
      <x:c r="L76" s="68"/>
    </x:row>
    <x:row r="77" ht="62" customHeight="1">
      <x:c r="A77" s="54" t="str">
        <x:v>RK073</x:v>
      </x:c>
      <x:c r="B77" s="54" t="str">
        <x:v>需求工程与UML</x:v>
      </x:c>
      <x:c r="C77" s="54" t="str">
        <x:v>A</x:v>
      </x:c>
      <x:c r="D77" s="54" t="str">
        <x:v>活动图中，菱形决策节点的主要含义是？</x:v>
      </x:c>
      <x:c r="E77" s="54" t="str">
        <x:v>对象创建</x:v>
      </x:c>
      <x:c r="F77" s="54" t="str">
        <x:v>类继承</x:v>
      </x:c>
      <x:c r="G77" s="54" t="str">
        <x:v>按守卫条件分支</x:v>
      </x:c>
      <x:c r="H77" s="54" t="str">
        <x:v>跨设备部署</x:v>
      </x:c>
      <x:c r="I77" s="58"/>
      <x:c r="J77" s="54" t="str">
        <x:f>IF(I77="","",IF(I77='答案与解析'!C77,1,0))</x:f>
      </x:c>
      <x:c r="K77" s="54" t="str">
        <x:f>IF(I77="","未作答",IF(J77=1,"正确","错误"))</x:f>
        <x:v>未作答</x:v>
      </x:c>
      <x:c r="L77" s="68"/>
    </x:row>
    <x:row r="78" ht="62" customHeight="1">
      <x:c r="A78" s="54" t="str">
        <x:v>RK074</x:v>
      </x:c>
      <x:c r="B78" s="54" t="str">
        <x:v>架构与设计模式</x:v>
      </x:c>
      <x:c r="C78" s="54" t="str">
        <x:v>A</x:v>
      </x:c>
      <x:c r="D78" s="54" t="str">
        <x:v>需支持操作撤销/恢复且保存对象某时刻内部状态，适合？</x:v>
      </x:c>
      <x:c r="E78" s="54" t="str">
        <x:v>备忘录模式</x:v>
      </x:c>
      <x:c r="F78" s="54" t="str">
        <x:v>装饰器模式</x:v>
      </x:c>
      <x:c r="G78" s="54" t="str">
        <x:v>桥接模式</x:v>
      </x:c>
      <x:c r="H78" s="54" t="str">
        <x:v>适配器模式</x:v>
      </x:c>
      <x:c r="I78" s="58"/>
      <x:c r="J78" s="54" t="str">
        <x:f>IF(I78="","",IF(I78='答案与解析'!C78,1,0))</x:f>
      </x:c>
      <x:c r="K78" s="54" t="str">
        <x:f>IF(I78="","未作答",IF(J78=1,"正确","错误"))</x:f>
        <x:v>未作答</x:v>
      </x:c>
      <x:c r="L78" s="68"/>
    </x:row>
    <x:row r="79" ht="62" customHeight="1">
      <x:c r="A79" s="54" t="str">
        <x:v>RK075</x:v>
      </x:c>
      <x:c r="B79" s="54" t="str">
        <x:v>数据库与数据建模</x:v>
      </x:c>
      <x:c r="C79" s="54" t="str">
        <x:v>A</x:v>
      </x:c>
      <x:c r="D79" s="54" t="str">
        <x:v>高并发下两个事务读取相同库存后各扣减而导致超卖，优先考虑？</x:v>
      </x:c>
      <x:c r="E79" s="54" t="str">
        <x:v>行锁/乐观锁和原子条件更新</x:v>
      </x:c>
      <x:c r="F79" s="54" t="str">
        <x:v>在前端刷新按钮</x:v>
      </x:c>
      <x:c r="G79" s="54" t="str">
        <x:v>增加网页动画</x:v>
      </x:c>
      <x:c r="H79" s="54" t="str">
        <x:v>删除主键</x:v>
      </x:c>
      <x:c r="I79" s="58"/>
      <x:c r="J79" s="54" t="str">
        <x:f>IF(I79="","",IF(I79='答案与解析'!C79,1,0))</x:f>
      </x:c>
      <x:c r="K79" s="54" t="str">
        <x:f>IF(I79="","未作答",IF(J79=1,"正确","错误"))</x:f>
        <x:v>未作答</x:v>
      </x:c>
      <x:c r="L79" s="68"/>
    </x:row>
  </x:sheetData>
  <x:mergeCells>
    <x:mergeCell ref="A1:L1"/>
    <x:mergeCell ref="A2:L2"/>
  </x:mergeCells>
  <x:conditionalFormatting sqref="K5:K79">
    <x:cfRule type="expression" dxfId="0" priority="1">
      <x:formula>$K5="错误"</x:formula>
    </x:cfRule>
    <x:cfRule type="expression" dxfId="1" priority="2">
      <x:formula>$K5="正确"</x:formula>
    </x:cfRule>
  </x:conditionalFormatting>
  <x:dataValidations count="1">
    <x:dataValidation type="list" sqref="I5:I79">
      <x:formula1>"A,B,C,D"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57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17" hidden="0" customWidth="1"/>
    <x:col min="10" max="10" width="15" hidden="0" customWidth="1"/>
    <x:col min="11" max="11" width="15" hidden="0" customWidth="1"/>
    <x:col min="12" max="12" width="34" hidden="0" customWidth="1"/>
  </x:cols>
  <x:sheetData>
    <x:row r="1" ht="34" customHeight="1">
      <x:c r="A1" s="4" t="str">
        <x:v>综合模考75｜只做一遍完整限时卷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11" t="str">
        <x:v>原创完整模拟：建议150分钟；独立完成后再看“答案与解析”，I列作答，J/K自动判分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t="str"/>
    </x:row>
    <x:row r="4" ht="29" customHeight="1">
      <x:c r="A4" s="46" t="str">
        <x:v>题号</x:v>
      </x:c>
      <x:c r="B4" s="46" t="str">
        <x:v>知识模块</x:v>
      </x:c>
      <x:c r="C4" s="46" t="str">
        <x:v>重要级</x:v>
      </x:c>
      <x:c r="D4" s="46" t="str">
        <x:v>原创单选题</x:v>
      </x:c>
      <x:c r="E4" s="46" t="str">
        <x:v>A</x:v>
      </x:c>
      <x:c r="F4" s="46" t="str">
        <x:v>B</x:v>
      </x:c>
      <x:c r="G4" s="46" t="str">
        <x:v>C</x:v>
      </x:c>
      <x:c r="H4" s="46" t="str">
        <x:v>D</x:v>
      </x:c>
      <x:c r="I4" s="46" t="str">
        <x:v>我的答案（选A-D）</x:v>
      </x:c>
      <x:c r="J4" s="46" t="str">
        <x:v>得分(1/0)</x:v>
      </x:c>
      <x:c r="K4" s="46" t="str">
        <x:v>结果</x:v>
      </x:c>
      <x:c r="L4" s="46" t="str">
        <x:v>我的错因/备注</x:v>
      </x:c>
    </x:row>
    <x:row r="5" ht="62" customHeight="1">
      <x:c r="A5" s="54" t="str">
        <x:v>RK076</x:v>
      </x:c>
      <x:c r="B5" s="54" t="str">
        <x:v>需求工程与UML</x:v>
      </x:c>
      <x:c r="C5" s="54" t="str">
        <x:v>A</x:v>
      </x:c>
      <x:c r="D5" s="54" t="str">
        <x:v>在结构化分析中，0层DFD与其下一层分解图的关系应满足？</x:v>
      </x:c>
      <x:c r="E5" s="54" t="str">
        <x:v>存储名称一样即可</x:v>
      </x:c>
      <x:c r="F5" s="54" t="str">
        <x:v>所有加工数相同</x:v>
      </x:c>
      <x:c r="G5" s="54" t="str">
        <x:v>图形布局一致</x:v>
      </x:c>
      <x:c r="H5" s="54" t="str">
        <x:v>输入输出数据流平衡</x:v>
      </x:c>
      <x:c r="I5" s="58"/>
      <x:c r="J5" s="54" t="str">
        <x:f>IF(I5="","",IF(I5='答案与解析'!C80,1,0))</x:f>
      </x:c>
      <x:c r="K5" s="54" t="str">
        <x:f>IF(I5="","未作答",IF(J5=1,"正确","错误"))</x:f>
        <x:v>未作答</x:v>
      </x:c>
      <x:c r="L5" s="68"/>
    </x:row>
    <x:row r="6" ht="62" customHeight="1">
      <x:c r="A6" s="54" t="str">
        <x:v>RK077</x:v>
      </x:c>
      <x:c r="B6" s="54" t="str">
        <x:v>系统规划与企业信息化</x:v>
      </x:c>
      <x:c r="C6" s="54" t="str">
        <x:v>B</x:v>
      </x:c>
      <x:c r="D6" s="54" t="str">
        <x:v>ERP的典型目标是？</x:v>
      </x:c>
      <x:c r="E6" s="54" t="str">
        <x:v>只管理邮件</x:v>
      </x:c>
      <x:c r="F6" s="54" t="str">
        <x:v>只用于图像识别</x:v>
      </x:c>
      <x:c r="G6" s="54" t="str">
        <x:v>只实现网页展示</x:v>
      </x:c>
      <x:c r="H6" s="54" t="str">
        <x:v>跨部门集成采购、库存、生产、财务等资源信息</x:v>
      </x:c>
      <x:c r="I6" s="58"/>
      <x:c r="J6" s="54" t="str">
        <x:f>IF(I6="","",IF(I6='答案与解析'!C81,1,0))</x:f>
      </x:c>
      <x:c r="K6" s="54" t="str">
        <x:f>IF(I6="","未作答",IF(J6=1,"正确","错误"))</x:f>
        <x:v>未作答</x:v>
      </x:c>
      <x:c r="L6" s="68"/>
    </x:row>
    <x:row r="7" ht="62" customHeight="1">
      <x:c r="A7" s="54" t="str">
        <x:v>RK078</x:v>
      </x:c>
      <x:c r="B7" s="54" t="str">
        <x:v>软件工程与开发方法</x:v>
      </x:c>
      <x:c r="C7" s="54" t="str">
        <x:v>B</x:v>
      </x:c>
      <x:c r="D7" s="54" t="str">
        <x:v>接口契约应明确？</x:v>
      </x:c>
      <x:c r="E7" s="54" t="str">
        <x:v>开发人员生日</x:v>
      </x:c>
      <x:c r="F7" s="54" t="str">
        <x:v>UI配色</x:v>
      </x:c>
      <x:c r="G7" s="54" t="str">
        <x:v>服务器采购品牌</x:v>
      </x:c>
      <x:c r="H7" s="54" t="str">
        <x:v>输入输出、错误码、幂等语义与版本策略</x:v>
      </x:c>
      <x:c r="I7" s="58"/>
      <x:c r="J7" s="54" t="str">
        <x:f>IF(I7="","",IF(I7='答案与解析'!C82,1,0))</x:f>
      </x:c>
      <x:c r="K7" s="54" t="str">
        <x:f>IF(I7="","未作答",IF(J7=1,"正确","错误"))</x:f>
        <x:v>未作答</x:v>
      </x:c>
      <x:c r="L7" s="68"/>
    </x:row>
    <x:row r="8" ht="62" customHeight="1">
      <x:c r="A8" s="54" t="str">
        <x:v>RK079</x:v>
      </x:c>
      <x:c r="B8" s="54" t="str">
        <x:v>架构与设计模式</x:v>
      </x:c>
      <x:c r="C8" s="54" t="str">
        <x:v>A</x:v>
      </x:c>
      <x:c r="D8" s="54" t="str">
        <x:v>创建一组有关联的产品对象且隐藏具体类，适合？</x:v>
      </x:c>
      <x:c r="E8" s="54" t="str">
        <x:v>命令模式</x:v>
      </x:c>
      <x:c r="F8" s="54" t="str">
        <x:v>抽象工厂</x:v>
      </x:c>
      <x:c r="G8" s="54" t="str">
        <x:v>迭代器</x:v>
      </x:c>
      <x:c r="H8" s="54" t="str">
        <x:v>解释器</x:v>
      </x:c>
      <x:c r="I8" s="58"/>
      <x:c r="J8" s="54" t="str">
        <x:f>IF(I8="","",IF(I8='答案与解析'!C83,1,0))</x:f>
      </x:c>
      <x:c r="K8" s="54" t="str">
        <x:f>IF(I8="","未作答",IF(J8=1,"正确","错误"))</x:f>
        <x:v>未作答</x:v>
      </x:c>
      <x:c r="L8" s="68"/>
    </x:row>
    <x:row r="9" ht="62" customHeight="1">
      <x:c r="A9" s="54" t="str">
        <x:v>RK080</x:v>
      </x:c>
      <x:c r="B9" s="54" t="str">
        <x:v>数据库与数据建模</x:v>
      </x:c>
      <x:c r="C9" s="54" t="str">
        <x:v>A</x:v>
      </x:c>
      <x:c r="D9" s="54" t="str">
        <x:v>数据库索引在加快查询的同时常带来？</x:v>
      </x:c>
      <x:c r="E9" s="54" t="str">
        <x:v>减少所有存储空间</x:v>
      </x:c>
      <x:c r="F9" s="54" t="str">
        <x:v>写入维护开销和额外存储</x:v>
      </x:c>
      <x:c r="G9" s="54" t="str">
        <x:v>自动消除所有死锁</x:v>
      </x:c>
      <x:c r="H9" s="54" t="str">
        <x:v>消除主外键需求</x:v>
      </x:c>
      <x:c r="I9" s="58"/>
      <x:c r="J9" s="54" t="str">
        <x:f>IF(I9="","",IF(I9='答案与解析'!C84,1,0))</x:f>
      </x:c>
      <x:c r="K9" s="54" t="str">
        <x:f>IF(I9="","未作答",IF(J9=1,"正确","错误"))</x:f>
        <x:v>未作答</x:v>
      </x:c>
      <x:c r="L9" s="68"/>
    </x:row>
    <x:row r="10" ht="62" customHeight="1">
      <x:c r="A10" s="54" t="str">
        <x:v>RK081</x:v>
      </x:c>
      <x:c r="B10" s="54" t="str">
        <x:v>软件测试与质量</x:v>
      </x:c>
      <x:c r="C10" s="54" t="str">
        <x:v>A</x:v>
      </x:c>
      <x:c r="D10" s="54" t="str">
        <x:v>在系统容量上限之外持续施压以观察稳定性与恢复，常称？</x:v>
      </x:c>
      <x:c r="E10" s="54" t="str">
        <x:v>单元测试</x:v>
      </x:c>
      <x:c r="F10" s="54" t="str">
        <x:v>可用性测试</x:v>
      </x:c>
      <x:c r="G10" s="54" t="str">
        <x:v>冒烟测试</x:v>
      </x:c>
      <x:c r="H10" s="54" t="str">
        <x:v>压力测试</x:v>
      </x:c>
      <x:c r="I10" s="58"/>
      <x:c r="J10" s="54" t="str">
        <x:f>IF(I10="","",IF(I10='答案与解析'!C85,1,0))</x:f>
      </x:c>
      <x:c r="K10" s="54" t="str">
        <x:f>IF(I10="","未作答",IF(J10=1,"正确","错误"))</x:f>
        <x:v>未作答</x:v>
      </x:c>
      <x:c r="L10" s="68"/>
    </x:row>
    <x:row r="11" ht="62" customHeight="1">
      <x:c r="A11" s="54" t="str">
        <x:v>RK082</x:v>
      </x:c>
      <x:c r="B11" s="54" t="str">
        <x:v>网络分布式与高可用</x:v>
      </x:c>
      <x:c r="C11" s="54" t="str">
        <x:v>A</x:v>
      </x:c>
      <x:c r="D11" s="54" t="str">
        <x:v>最终一致性更准确的说法是？</x:v>
      </x:c>
      <x:c r="E11" s="54" t="str">
        <x:v>无新更新且满足条件时，各副本最终收敛一致</x:v>
      </x:c>
      <x:c r="F11" s="54" t="str">
        <x:v>任意时刻所有副本完全相同</x:v>
      </x:c>
      <x:c r="G11" s="54" t="str">
        <x:v>永不发生数据冲突</x:v>
      </x:c>
      <x:c r="H11" s="54" t="str">
        <x:v>事务必然串行化</x:v>
      </x:c>
      <x:c r="I11" s="58"/>
      <x:c r="J11" s="54" t="str">
        <x:f>IF(I11="","",IF(I11='答案与解析'!C86,1,0))</x:f>
      </x:c>
      <x:c r="K11" s="54" t="str">
        <x:f>IF(I11="","未作答",IF(J11=1,"正确","错误"))</x:f>
        <x:v>未作答</x:v>
      </x:c>
      <x:c r="L11" s="68"/>
    </x:row>
    <x:row r="12" ht="62" customHeight="1">
      <x:c r="A12" s="54" t="str">
        <x:v>RK083</x:v>
      </x:c>
      <x:c r="B12" s="54" t="str">
        <x:v>安全合规与标准</x:v>
      </x:c>
      <x:c r="C12" s="54" t="str">
        <x:v>A</x:v>
      </x:c>
      <x:c r="D12" s="54" t="str">
        <x:v>密码存储的推荐方式通常是？</x:v>
      </x:c>
      <x:c r="E12" s="54" t="str">
        <x:v>AES加密后在程序中写死密钥</x:v>
      </x:c>
      <x:c r="F12" s="54" t="str">
        <x:v>不加盐MD5</x:v>
      </x:c>
      <x:c r="G12" s="54" t="str">
        <x:v>专门的慢速密码哈希/密钥派生算法配合独立盐</x:v>
      </x:c>
      <x:c r="H12" s="54" t="str">
        <x:v>使用Base64存储</x:v>
      </x:c>
      <x:c r="I12" s="58"/>
      <x:c r="J12" s="54" t="str">
        <x:f>IF(I12="","",IF(I12='答案与解析'!C87,1,0))</x:f>
      </x:c>
      <x:c r="K12" s="54" t="str">
        <x:f>IF(I12="","未作答",IF(J12=1,"正确","错误"))</x:f>
        <x:v>未作答</x:v>
      </x:c>
      <x:c r="L12" s="68"/>
    </x:row>
    <x:row r="13" ht="62" customHeight="1">
      <x:c r="A13" s="54" t="str">
        <x:v>RK084</x:v>
      </x:c>
      <x:c r="B13" s="54" t="str">
        <x:v>计算机系统与操作系统</x:v>
      </x:c>
      <x:c r="C13" s="54" t="str">
        <x:v>B</x:v>
      </x:c>
      <x:c r="D13" s="54" t="str">
        <x:v>时间片轮转调度更关注？</x:v>
      </x:c>
      <x:c r="E13" s="54" t="str">
        <x:v>提高单个批处理任务吞吐至极限</x:v>
      </x:c>
      <x:c r="F13" s="54" t="str">
        <x:v>交互公平性与响应</x:v>
      </x:c>
      <x:c r="G13" s="54" t="str">
        <x:v>完全杜绝上下文切换</x:v>
      </x:c>
      <x:c r="H13" s="54" t="str">
        <x:v>保证所有任务截止时间</x:v>
      </x:c>
      <x:c r="I13" s="58"/>
      <x:c r="J13" s="54" t="str">
        <x:f>IF(I13="","",IF(I13='答案与解析'!C88,1,0))</x:f>
      </x:c>
      <x:c r="K13" s="54" t="str">
        <x:f>IF(I13="","未作答",IF(J13=1,"正确","错误"))</x:f>
        <x:v>未作答</x:v>
      </x:c>
      <x:c r="L13" s="68"/>
    </x:row>
    <x:row r="14" ht="62" customHeight="1">
      <x:c r="A14" s="54" t="str">
        <x:v>RK085</x:v>
      </x:c>
      <x:c r="B14" s="54" t="str">
        <x:v>工程数学与项目管理</x:v>
      </x:c>
      <x:c r="C14" s="54" t="str">
        <x:v>B</x:v>
      </x:c>
      <x:c r="D14" s="54" t="str">
        <x:v>图中求所有节点互连且总边权最小，应使用？</x:v>
      </x:c>
      <x:c r="E14" s="54" t="str">
        <x:v>哈希算法</x:v>
      </x:c>
      <x:c r="F14" s="54" t="str">
        <x:v>最小生成树算法</x:v>
      </x:c>
      <x:c r="G14" s="54" t="str">
        <x:v>拓扑排序直接求最短路径</x:v>
      </x:c>
      <x:c r="H14" s="54" t="str">
        <x:v>归并排序</x:v>
      </x:c>
      <x:c r="I14" s="58"/>
      <x:c r="J14" s="54" t="str">
        <x:f>IF(I14="","",IF(I14='答案与解析'!C89,1,0))</x:f>
      </x:c>
      <x:c r="K14" s="54" t="str">
        <x:f>IF(I14="","未作答",IF(J14=1,"正确","错误"))</x:f>
        <x:v>未作答</x:v>
      </x:c>
      <x:c r="L14" s="68"/>
    </x:row>
    <x:row r="15" ht="62" customHeight="1">
      <x:c r="A15" s="54" t="str">
        <x:v>RK086</x:v>
      </x:c>
      <x:c r="B15" s="54" t="str">
        <x:v>云原生微服务与AI</x:v>
      </x:c>
      <x:c r="C15" s="54" t="str">
        <x:v>B</x:v>
      </x:c>
      <x:c r="D15" s="54" t="str">
        <x:v>大模型“幻觉”最恰当的描述是？</x:v>
      </x:c>
      <x:c r="E15" s="54" t="str">
        <x:v>输出速度过快</x:v>
      </x:c>
      <x:c r="F15" s="54" t="str">
        <x:v>训练数据全部错误</x:v>
      </x:c>
      <x:c r="G15" s="54" t="str">
        <x:v>生成流畅但缺乏事实依据或与证据矛盾的内容</x:v>
      </x:c>
      <x:c r="H15" s="54" t="str">
        <x:v>上下文窗口太长</x:v>
      </x:c>
      <x:c r="I15" s="58"/>
      <x:c r="J15" s="54" t="str">
        <x:f>IF(I15="","",IF(I15='答案与解析'!C90,1,0))</x:f>
      </x:c>
      <x:c r="K15" s="54" t="str">
        <x:f>IF(I15="","未作答",IF(J15=1,"正确","错误"))</x:f>
        <x:v>未作答</x:v>
      </x:c>
      <x:c r="L15" s="68"/>
    </x:row>
    <x:row r="16" ht="62" customHeight="1">
      <x:c r="A16" s="54" t="str">
        <x:v>RK087</x:v>
      </x:c>
      <x:c r="B16" s="54" t="str">
        <x:v>系统实施运维与英语</x:v>
      </x:c>
      <x:c r="C16" s="54" t="str">
        <x:v>B</x:v>
      </x:c>
      <x:c r="D16" s="54" t="str">
        <x:v>日志、指标与追踪三者组合的名称通常是？</x:v>
      </x:c>
      <x:c r="E16" s="54" t="str">
        <x:v>负载均衡</x:v>
      </x:c>
      <x:c r="F16" s="54" t="str">
        <x:v>数据库范式</x:v>
      </x:c>
      <x:c r="G16" s="54" t="str">
        <x:v>接口幂等</x:v>
      </x:c>
      <x:c r="H16" s="54" t="str">
        <x:v>可观测性三支柱</x:v>
      </x:c>
      <x:c r="I16" s="58"/>
      <x:c r="J16" s="54" t="str">
        <x:f>IF(I16="","",IF(I16='答案与解析'!C91,1,0))</x:f>
      </x:c>
      <x:c r="K16" s="54" t="str">
        <x:f>IF(I16="","未作答",IF(J16=1,"正确","错误"))</x:f>
        <x:v>未作答</x:v>
      </x:c>
      <x:c r="L16" s="68"/>
    </x:row>
    <x:row r="17" ht="62" customHeight="1">
      <x:c r="A17" s="54" t="str">
        <x:v>RK088</x:v>
      </x:c>
      <x:c r="B17" s="54" t="str">
        <x:v>需求工程与UML</x:v>
      </x:c>
      <x:c r="C17" s="54" t="str">
        <x:v>A</x:v>
      </x:c>
      <x:c r="D17" s="54" t="str">
        <x:v>下面哪一个不是数据流图中的基本元素？</x:v>
      </x:c>
      <x:c r="E17" s="54" t="str">
        <x:v>数据库索引</x:v>
      </x:c>
      <x:c r="F17" s="54" t="str">
        <x:v>加工</x:v>
      </x:c>
      <x:c r="G17" s="54" t="str">
        <x:v>数据流</x:v>
      </x:c>
      <x:c r="H17" s="54" t="str">
        <x:v>外部实体</x:v>
      </x:c>
      <x:c r="I17" s="58"/>
      <x:c r="J17" s="54" t="str">
        <x:f>IF(I17="","",IF(I17='答案与解析'!C92,1,0))</x:f>
      </x:c>
      <x:c r="K17" s="54" t="str">
        <x:f>IF(I17="","未作答",IF(J17=1,"正确","错误"))</x:f>
        <x:v>未作答</x:v>
      </x:c>
      <x:c r="L17" s="68"/>
    </x:row>
    <x:row r="18" ht="62" customHeight="1">
      <x:c r="A18" s="54" t="str">
        <x:v>RK089</x:v>
      </x:c>
      <x:c r="B18" s="54" t="str">
        <x:v>系统规划与企业信息化</x:v>
      </x:c>
      <x:c r="C18" s="54" t="str">
        <x:v>B</x:v>
      </x:c>
      <x:c r="D18" s="54" t="str">
        <x:v>CRM系统最直接支持的目标是？</x:v>
      </x:c>
      <x:c r="E18" s="54" t="str">
        <x:v>客户获取、服务与关系管理</x:v>
      </x:c>
      <x:c r="F18" s="54" t="str">
        <x:v>虚拟内存管理</x:v>
      </x:c>
      <x:c r="G18" s="54" t="str">
        <x:v>芯片功耗优化</x:v>
      </x:c>
      <x:c r="H18" s="54" t="str">
        <x:v>网络路由收敛</x:v>
      </x:c>
      <x:c r="I18" s="58"/>
      <x:c r="J18" s="54" t="str">
        <x:f>IF(I18="","",IF(I18='答案与解析'!C93,1,0))</x:f>
      </x:c>
      <x:c r="K18" s="54" t="str">
        <x:f>IF(I18="","未作答",IF(J18=1,"正确","错误"))</x:f>
        <x:v>未作答</x:v>
      </x:c>
      <x:c r="L18" s="68"/>
    </x:row>
    <x:row r="19" ht="62" customHeight="1">
      <x:c r="A19" s="54" t="str">
        <x:v>RK090</x:v>
      </x:c>
      <x:c r="B19" s="54" t="str">
        <x:v>软件工程与开发方法</x:v>
      </x:c>
      <x:c r="C19" s="54" t="str">
        <x:v>B</x:v>
      </x:c>
      <x:c r="D19" s="54" t="str">
        <x:v>使用版本控制的分支策略最重要的目标是？</x:v>
      </x:c>
      <x:c r="E19" s="54" t="str">
        <x:v>控制变更、支持并行开发和可靠合并</x:v>
      </x:c>
      <x:c r="F19" s="54" t="str">
        <x:v>取消代码评审</x:v>
      </x:c>
      <x:c r="G19" s="54" t="str">
        <x:v>永久禁止发布</x:v>
      </x:c>
      <x:c r="H19" s="54" t="str">
        <x:v>代替需求管理</x:v>
      </x:c>
      <x:c r="I19" s="58"/>
      <x:c r="J19" s="54" t="str">
        <x:f>IF(I19="","",IF(I19='答案与解析'!C94,1,0))</x:f>
      </x:c>
      <x:c r="K19" s="54" t="str">
        <x:f>IF(I19="","未作答",IF(J19=1,"正确","错误"))</x:f>
        <x:v>未作答</x:v>
      </x:c>
      <x:c r="L19" s="68"/>
    </x:row>
    <x:row r="20" ht="62" customHeight="1">
      <x:c r="A20" s="54" t="str">
        <x:v>RK091</x:v>
      </x:c>
      <x:c r="B20" s="54" t="str">
        <x:v>架构与设计模式</x:v>
      </x:c>
      <x:c r="C20" s="54" t="str">
        <x:v>A</x:v>
      </x:c>
      <x:c r="D20" s="54" t="str">
        <x:v>希望为既有对象动态追加缓存或审计等职责，适合？</x:v>
      </x:c>
      <x:c r="E20" s="54" t="str">
        <x:v>访问者</x:v>
      </x:c>
      <x:c r="F20" s="54" t="str">
        <x:v>状态模式</x:v>
      </x:c>
      <x:c r="G20" s="54" t="str">
        <x:v>装饰器模式</x:v>
      </x:c>
      <x:c r="H20" s="54" t="str">
        <x:v>中介者</x:v>
      </x:c>
      <x:c r="I20" s="58"/>
      <x:c r="J20" s="54" t="str">
        <x:f>IF(I20="","",IF(I20='答案与解析'!C95,1,0))</x:f>
      </x:c>
      <x:c r="K20" s="54" t="str">
        <x:f>IF(I20="","未作答",IF(J20=1,"正确","错误"))</x:f>
        <x:v>未作答</x:v>
      </x:c>
      <x:c r="L20" s="68"/>
    </x:row>
    <x:row r="21" ht="62" customHeight="1">
      <x:c r="A21" s="54" t="str">
        <x:v>RK092</x:v>
      </x:c>
      <x:c r="B21" s="54" t="str">
        <x:v>数据库与数据建模</x:v>
      </x:c>
      <x:c r="C21" s="54" t="str">
        <x:v>A</x:v>
      </x:c>
      <x:c r="D21" s="54" t="str">
        <x:v>数据仓库维度建模中，记录销售金额/数量等数值指标的通常是？</x:v>
      </x:c>
      <x:c r="E21" s="54" t="str">
        <x:v>维度表</x:v>
      </x:c>
      <x:c r="F21" s="54" t="str">
        <x:v>审计表</x:v>
      </x:c>
      <x:c r="G21" s="54" t="str">
        <x:v>事实表</x:v>
      </x:c>
      <x:c r="H21" s="54" t="str">
        <x:v>字典表</x:v>
      </x:c>
      <x:c r="I21" s="58"/>
      <x:c r="J21" s="54" t="str">
        <x:f>IF(I21="","",IF(I21='答案与解析'!C96,1,0))</x:f>
      </x:c>
      <x:c r="K21" s="54" t="str">
        <x:f>IF(I21="","未作答",IF(J21=1,"正确","错误"))</x:f>
        <x:v>未作答</x:v>
      </x:c>
      <x:c r="L21" s="68"/>
    </x:row>
    <x:row r="22" ht="62" customHeight="1">
      <x:c r="A22" s="54" t="str">
        <x:v>RK093</x:v>
      </x:c>
      <x:c r="B22" s="54" t="str">
        <x:v>软件测试与质量</x:v>
      </x:c>
      <x:c r="C22" s="54" t="str">
        <x:v>A</x:v>
      </x:c>
      <x:c r="D22" s="54" t="str">
        <x:v>测试左移主要主张？</x:v>
      </x:c>
      <x:c r="E22" s="54" t="str">
        <x:v>尽早开展评审、单测和自动化验证</x:v>
      </x:c>
      <x:c r="F22" s="54" t="str">
        <x:v>把所有测试放在上线后</x:v>
      </x:c>
      <x:c r="G22" s="54" t="str">
        <x:v>减少需求沟通</x:v>
      </x:c>
      <x:c r="H22" s="54" t="str">
        <x:v>取消验收</x:v>
      </x:c>
      <x:c r="I22" s="58"/>
      <x:c r="J22" s="54" t="str">
        <x:f>IF(I22="","",IF(I22='答案与解析'!C97,1,0))</x:f>
      </x:c>
      <x:c r="K22" s="54" t="str">
        <x:f>IF(I22="","未作答",IF(J22=1,"正确","错误"))</x:f>
        <x:v>未作答</x:v>
      </x:c>
      <x:c r="L22" s="68"/>
    </x:row>
    <x:row r="23" ht="62" customHeight="1">
      <x:c r="A23" s="54" t="str">
        <x:v>RK094</x:v>
      </x:c>
      <x:c r="B23" s="54" t="str">
        <x:v>网络分布式与高可用</x:v>
      </x:c>
      <x:c r="C23" s="54" t="str">
        <x:v>A</x:v>
      </x:c>
      <x:c r="D23" s="54" t="str">
        <x:v>可用性为99.9%的服务，在30天（720小时）内理论不可用时长约是？</x:v>
      </x:c>
      <x:c r="E23" s="54" t="str">
        <x:v>7.2小时</x:v>
      </x:c>
      <x:c r="F23" s="54" t="str">
        <x:v>43.2分钟</x:v>
      </x:c>
      <x:c r="G23" s="54" t="str">
        <x:v>4.32分钟</x:v>
      </x:c>
      <x:c r="H23" s="54" t="str">
        <x:v>72小时</x:v>
      </x:c>
      <x:c r="I23" s="58"/>
      <x:c r="J23" s="54" t="str">
        <x:f>IF(I23="","",IF(I23='答案与解析'!C98,1,0))</x:f>
      </x:c>
      <x:c r="K23" s="54" t="str">
        <x:f>IF(I23="","未作答",IF(J23=1,"正确","错误"))</x:f>
        <x:v>未作答</x:v>
      </x:c>
      <x:c r="L23" s="68"/>
    </x:row>
    <x:row r="24" ht="62" customHeight="1">
      <x:c r="A24" s="54" t="str">
        <x:v>RK095</x:v>
      </x:c>
      <x:c r="B24" s="54" t="str">
        <x:v>安全合规与标准</x:v>
      </x:c>
      <x:c r="C24" s="54" t="str">
        <x:v>A</x:v>
      </x:c>
      <x:c r="D24" s="54" t="str">
        <x:v>业务日志包含完整身份证号，最恰当的改进是？</x:v>
      </x:c>
      <x:c r="E24" s="54" t="str">
        <x:v>公开共享日志</x:v>
      </x:c>
      <x:c r="F24" s="54" t="str">
        <x:v>只增加日志量</x:v>
      </x:c>
      <x:c r="G24" s="54" t="str">
        <x:v>永久保留</x:v>
      </x:c>
      <x:c r="H24" s="54" t="str">
        <x:v>按需脱敏、控制访问并设置保留期限</x:v>
      </x:c>
      <x:c r="I24" s="58"/>
      <x:c r="J24" s="54" t="str">
        <x:f>IF(I24="","",IF(I24='答案与解析'!C99,1,0))</x:f>
      </x:c>
      <x:c r="K24" s="54" t="str">
        <x:f>IF(I24="","未作答",IF(J24=1,"正确","错误"))</x:f>
        <x:v>未作答</x:v>
      </x:c>
      <x:c r="L24" s="68"/>
    </x:row>
    <x:row r="25" ht="62" customHeight="1">
      <x:c r="A25" s="54" t="str">
        <x:v>RK096</x:v>
      </x:c>
      <x:c r="B25" s="54" t="str">
        <x:v>计算机系统与操作系统</x:v>
      </x:c>
      <x:c r="C25" s="54" t="str">
        <x:v>B</x:v>
      </x:c>
      <x:c r="D25" s="54" t="str">
        <x:v>RAID1主要提供？</x:v>
      </x:c>
      <x:c r="E25" s="54" t="str">
        <x:v>条带化但没有冗余</x:v>
      </x:c>
      <x:c r="F25" s="54" t="str">
        <x:v>仅提升CPU性能</x:v>
      </x:c>
      <x:c r="G25" s="54" t="str">
        <x:v>磁盘镜像冗余</x:v>
      </x:c>
      <x:c r="H25" s="54" t="str">
        <x:v>自动跨地区容灾</x:v>
      </x:c>
      <x:c r="I25" s="58"/>
      <x:c r="J25" s="54" t="str">
        <x:f>IF(I25="","",IF(I25='答案与解析'!C100,1,0))</x:f>
      </x:c>
      <x:c r="K25" s="54" t="str">
        <x:f>IF(I25="","未作答",IF(J25=1,"正确","错误"))</x:f>
        <x:v>未作答</x:v>
      </x:c>
      <x:c r="L25" s="68"/>
    </x:row>
    <x:row r="26" ht="62" customHeight="1">
      <x:c r="A26" s="54" t="str">
        <x:v>RK097</x:v>
      </x:c>
      <x:c r="B26" s="54" t="str">
        <x:v>工程数学与项目管理</x:v>
      </x:c>
      <x:c r="C26" s="54" t="str">
        <x:v>B</x:v>
      </x:c>
      <x:c r="D26" s="54" t="str">
        <x:v>非负权有向图中求指定起点到其他节点最短路，经典算法是？</x:v>
      </x:c>
      <x:c r="E26" s="54" t="str">
        <x:v>KMP</x:v>
      </x:c>
      <x:c r="F26" s="54" t="str">
        <x:v>动态规划背包</x:v>
      </x:c>
      <x:c r="G26" s="54" t="str">
        <x:v>Dijkstra</x:v>
      </x:c>
      <x:c r="H26" s="54" t="str">
        <x:v>快速排序</x:v>
      </x:c>
      <x:c r="I26" s="58"/>
      <x:c r="J26" s="54" t="str">
        <x:f>IF(I26="","",IF(I26='答案与解析'!C101,1,0))</x:f>
      </x:c>
      <x:c r="K26" s="54" t="str">
        <x:f>IF(I26="","未作答",IF(J26=1,"正确","错误"))</x:f>
        <x:v>未作答</x:v>
      </x:c>
      <x:c r="L26" s="68"/>
    </x:row>
    <x:row r="27" ht="62" customHeight="1">
      <x:c r="A27" s="54" t="str">
        <x:v>RK098</x:v>
      </x:c>
      <x:c r="B27" s="54" t="str">
        <x:v>云原生微服务与AI</x:v>
      </x:c>
      <x:c r="C27" s="54" t="str">
        <x:v>B</x:v>
      </x:c>
      <x:c r="D27" s="54" t="str">
        <x:v>AI智能体调用业务工具时首要安全控制之一是？</x:v>
      </x:c>
      <x:c r="E27" s="54" t="str">
        <x:v>把所有工具赋予超级管理员权限</x:v>
      </x:c>
      <x:c r="F27" s="54" t="str">
        <x:v>允许任意SQL在生产运行</x:v>
      </x:c>
      <x:c r="G27" s="54" t="str">
        <x:v>默认相信外部提示</x:v>
      </x:c>
      <x:c r="H27" s="54" t="str">
        <x:v>为工具设最小权限、人工审批高风险操作与审计</x:v>
      </x:c>
      <x:c r="I27" s="58"/>
      <x:c r="J27" s="54" t="str">
        <x:f>IF(I27="","",IF(I27='答案与解析'!C102,1,0))</x:f>
      </x:c>
      <x:c r="K27" s="54" t="str">
        <x:f>IF(I27="","未作答",IF(J27=1,"正确","错误"))</x:f>
        <x:v>未作答</x:v>
      </x:c>
      <x:c r="L27" s="68"/>
    </x:row>
    <x:row r="28" ht="62" customHeight="1">
      <x:c r="A28" s="54" t="str">
        <x:v>RK099</x:v>
      </x:c>
      <x:c r="B28" s="54" t="str">
        <x:v>系统实施运维与英语</x:v>
      </x:c>
      <x:c r="C28" s="54" t="str">
        <x:v>B</x:v>
      </x:c>
      <x:c r="D28" s="54" t="str">
        <x:v>英语术语stakeholder在需求工程中通常指？</x:v>
      </x:c>
      <x:c r="E28" s="54" t="str">
        <x:v>利益相关方</x:v>
      </x:c>
      <x:c r="F28" s="54" t="str">
        <x:v>缓存页</x:v>
      </x:c>
      <x:c r="G28" s="54" t="str">
        <x:v>数据包</x:v>
      </x:c>
      <x:c r="H28" s="54" t="str">
        <x:v>负载均衡器</x:v>
      </x:c>
      <x:c r="I28" s="58"/>
      <x:c r="J28" s="54" t="str">
        <x:f>IF(I28="","",IF(I28='答案与解析'!C103,1,0))</x:f>
      </x:c>
      <x:c r="K28" s="54" t="str">
        <x:f>IF(I28="","未作答",IF(J28=1,"正确","错误"))</x:f>
        <x:v>未作答</x:v>
      </x:c>
      <x:c r="L28" s="68"/>
    </x:row>
    <x:row r="29" ht="62" customHeight="1">
      <x:c r="A29" s="54" t="str">
        <x:v>RK100</x:v>
      </x:c>
      <x:c r="B29" s="54" t="str">
        <x:v>需求工程与UML</x:v>
      </x:c>
      <x:c r="C29" s="54" t="str">
        <x:v>A</x:v>
      </x:c>
      <x:c r="D29" s="54" t="str">
        <x:v>需求追踪矩阵主要建立什么关联？</x:v>
      </x:c>
      <x:c r="E29" s="54" t="str">
        <x:v>只关联设计文档与部署设备</x:v>
      </x:c>
      <x:c r="F29" s="54" t="str">
        <x:v>需求与来源、设计、测试等制品的双向关系</x:v>
      </x:c>
      <x:c r="G29" s="54" t="str">
        <x:v>只记录需求编写人的姓名</x:v>
      </x:c>
      <x:c r="H29" s="54" t="str">
        <x:v>维护许可证费用</x:v>
      </x:c>
      <x:c r="I29" s="58"/>
      <x:c r="J29" s="54" t="str">
        <x:f>IF(I29="","",IF(I29='答案与解析'!C104,1,0))</x:f>
      </x:c>
      <x:c r="K29" s="54" t="str">
        <x:f>IF(I29="","未作答",IF(J29=1,"正确","错误"))</x:f>
        <x:v>未作答</x:v>
      </x:c>
      <x:c r="L29" s="68"/>
    </x:row>
    <x:row r="30" ht="62" customHeight="1">
      <x:c r="A30" s="54" t="str">
        <x:v>RK101</x:v>
      </x:c>
      <x:c r="B30" s="54" t="str">
        <x:v>系统规划与企业信息化</x:v>
      </x:c>
      <x:c r="C30" s="54" t="str">
        <x:v>B</x:v>
      </x:c>
      <x:c r="D30" s="54" t="str">
        <x:v>信息系统建设排序时，用“价值高且实施难度低”优先的做法属于？</x:v>
      </x:c>
      <x:c r="E30" s="54" t="str">
        <x:v>完全随机安排</x:v>
      </x:c>
      <x:c r="F30" s="54" t="str">
        <x:v>价值与复杂度二维优先级评估</x:v>
      </x:c>
      <x:c r="G30" s="54" t="str">
        <x:v>加密密钥生成</x:v>
      </x:c>
      <x:c r="H30" s="54" t="str">
        <x:v>软件复用度计算</x:v>
      </x:c>
      <x:c r="I30" s="58"/>
      <x:c r="J30" s="54" t="str">
        <x:f>IF(I30="","",IF(I30='答案与解析'!C105,1,0))</x:f>
      </x:c>
      <x:c r="K30" s="54" t="str">
        <x:f>IF(I30="","未作答",IF(J30=1,"正确","错误"))</x:f>
        <x:v>未作答</x:v>
      </x:c>
      <x:c r="L30" s="68"/>
    </x:row>
    <x:row r="31" ht="62" customHeight="1">
      <x:c r="A31" s="54" t="str">
        <x:v>RK102</x:v>
      </x:c>
      <x:c r="B31" s="54" t="str">
        <x:v>软件工程与开发方法</x:v>
      </x:c>
      <x:c r="C31" s="54" t="str">
        <x:v>B</x:v>
      </x:c>
      <x:c r="D31" s="54" t="str">
        <x:v>持续集成CI强调？</x:v>
      </x:c>
      <x:c r="E31" s="54" t="str">
        <x:v>每月人工拼接一次代码</x:v>
      </x:c>
      <x:c r="F31" s="54" t="str">
        <x:v>频繁集成并通过自动构建与测试快速反馈</x:v>
      </x:c>
      <x:c r="G31" s="54" t="str">
        <x:v>把测试全部延后到验收</x:v>
      </x:c>
      <x:c r="H31" s="54" t="str">
        <x:v>所有功能使用同一大文件</x:v>
      </x:c>
      <x:c r="I31" s="58"/>
      <x:c r="J31" s="54" t="str">
        <x:f>IF(I31="","",IF(I31='答案与解析'!C106,1,0))</x:f>
      </x:c>
      <x:c r="K31" s="54" t="str">
        <x:f>IF(I31="","未作答",IF(J31=1,"正确","错误"))</x:f>
        <x:v>未作答</x:v>
      </x:c>
      <x:c r="L31" s="68"/>
    </x:row>
    <x:row r="32" ht="62" customHeight="1">
      <x:c r="A32" s="54" t="str">
        <x:v>RK103</x:v>
      </x:c>
      <x:c r="B32" s="54" t="str">
        <x:v>架构与设计模式</x:v>
      </x:c>
      <x:c r="C32" s="54" t="str">
        <x:v>A</x:v>
      </x:c>
      <x:c r="D32" s="54" t="str">
        <x:v>单体系统拆分微服务最容易被忽视的代价是？</x:v>
      </x:c>
      <x:c r="E32" s="54" t="str">
        <x:v>完全没有网络开销</x:v>
      </x:c>
      <x:c r="F32" s="54" t="str">
        <x:v>所有服务天然强一致</x:v>
      </x:c>
      <x:c r="G32" s="54" t="str">
        <x:v>无需监控</x:v>
      </x:c>
      <x:c r="H32" s="54" t="str">
        <x:v>分布式调用、数据一致性与运维复杂度上升</x:v>
      </x:c>
      <x:c r="I32" s="58"/>
      <x:c r="J32" s="54" t="str">
        <x:f>IF(I32="","",IF(I32='答案与解析'!C107,1,0))</x:f>
      </x:c>
      <x:c r="K32" s="54" t="str">
        <x:f>IF(I32="","未作答",IF(J32=1,"正确","错误"))</x:f>
        <x:v>未作答</x:v>
      </x:c>
      <x:c r="L32" s="68"/>
    </x:row>
    <x:row r="33" ht="62" customHeight="1">
      <x:c r="A33" s="54" t="str">
        <x:v>RK104</x:v>
      </x:c>
      <x:c r="B33" s="54" t="str">
        <x:v>数据库与数据建模</x:v>
      </x:c>
      <x:c r="C33" s="54" t="str">
        <x:v>A</x:v>
      </x:c>
      <x:c r="D33" s="54" t="str">
        <x:v>SQL中筛选分组后SUM结果应使用？</x:v>
      </x:c>
      <x:c r="E33" s="54" t="str">
        <x:v>WHERE作用于分组汇总</x:v>
      </x:c>
      <x:c r="F33" s="54" t="str">
        <x:v>ORDER BY只能用于过滤</x:v>
      </x:c>
      <x:c r="G33" s="54" t="str">
        <x:v>LIMIT代替筛选</x:v>
      </x:c>
      <x:c r="H33" s="54" t="str">
        <x:v>HAVING</x:v>
      </x:c>
      <x:c r="I33" s="58"/>
      <x:c r="J33" s="54" t="str">
        <x:f>IF(I33="","",IF(I33='答案与解析'!C108,1,0))</x:f>
      </x:c>
      <x:c r="K33" s="54" t="str">
        <x:f>IF(I33="","未作答",IF(J33=1,"正确","错误"))</x:f>
        <x:v>未作答</x:v>
      </x:c>
      <x:c r="L33" s="68"/>
    </x:row>
    <x:row r="34" ht="62" customHeight="1">
      <x:c r="A34" s="54" t="str">
        <x:v>RK105</x:v>
      </x:c>
      <x:c r="B34" s="54" t="str">
        <x:v>软件测试与质量</x:v>
      </x:c>
      <x:c r="C34" s="54" t="str">
        <x:v>A</x:v>
      </x:c>
      <x:c r="D34" s="54" t="str">
        <x:v>软件质量保证SQA与质量控制QC的关系更恰当的是？</x:v>
      </x:c>
      <x:c r="E34" s="54" t="str">
        <x:v>完全同义</x:v>
      </x:c>
      <x:c r="F34" s="54" t="str">
        <x:v>SQA偏过程预防，QC偏产品检验与验证</x:v>
      </x:c>
      <x:c r="G34" s="54" t="str">
        <x:v>SQA只适用于运维</x:v>
      </x:c>
      <x:c r="H34" s="54" t="str">
        <x:v>QC只关注财务</x:v>
      </x:c>
      <x:c r="I34" s="58"/>
      <x:c r="J34" s="54" t="str">
        <x:f>IF(I34="","",IF(I34='答案与解析'!C109,1,0))</x:f>
      </x:c>
      <x:c r="K34" s="54" t="str">
        <x:f>IF(I34="","未作答",IF(J34=1,"正确","错误"))</x:f>
        <x:v>未作答</x:v>
      </x:c>
      <x:c r="L34" s="68"/>
    </x:row>
    <x:row r="35" ht="62" customHeight="1">
      <x:c r="A35" s="54" t="str">
        <x:v>RK106</x:v>
      </x:c>
      <x:c r="B35" s="54" t="str">
        <x:v>网络分布式与高可用</x:v>
      </x:c>
      <x:c r="C35" s="54" t="str">
        <x:v>A</x:v>
      </x:c>
      <x:c r="D35" s="54" t="str">
        <x:v>负载均衡的健康检查主要避免？</x:v>
      </x:c>
      <x:c r="E35" s="54" t="str">
        <x:v>明文密码存储</x:v>
      </x:c>
      <x:c r="F35" s="54" t="str">
        <x:v>数据库规范化</x:v>
      </x:c>
      <x:c r="G35" s="54" t="str">
        <x:v>把流量继续发送给故障实例</x:v>
      </x:c>
      <x:c r="H35" s="54" t="str">
        <x:v>所有CPU缓存未命中</x:v>
      </x:c>
      <x:c r="I35" s="58"/>
      <x:c r="J35" s="54" t="str">
        <x:f>IF(I35="","",IF(I35='答案与解析'!C110,1,0))</x:f>
      </x:c>
      <x:c r="K35" s="54" t="str">
        <x:f>IF(I35="","未作答",IF(J35=1,"正确","错误"))</x:f>
        <x:v>未作答</x:v>
      </x:c>
      <x:c r="L35" s="68"/>
    </x:row>
    <x:row r="36" ht="62" customHeight="1">
      <x:c r="A36" s="54" t="str">
        <x:v>RK107</x:v>
      </x:c>
      <x:c r="B36" s="54" t="str">
        <x:v>安全合规与标准</x:v>
      </x:c>
      <x:c r="C36" s="54" t="str">
        <x:v>A</x:v>
      </x:c>
      <x:c r="D36" s="54" t="str">
        <x:v>GB/T通常对应我国哪类标准代号？</x:v>
      </x:c>
      <x:c r="E36" s="54" t="str">
        <x:v>推荐性国家标准</x:v>
      </x:c>
      <x:c r="F36" s="54" t="str">
        <x:v>强制性国家标准</x:v>
      </x:c>
      <x:c r="G36" s="54" t="str">
        <x:v>地方标准</x:v>
      </x:c>
      <x:c r="H36" s="54" t="str">
        <x:v>企业内部编号</x:v>
      </x:c>
      <x:c r="I36" s="58"/>
      <x:c r="J36" s="54" t="str">
        <x:f>IF(I36="","",IF(I36='答案与解析'!C111,1,0))</x:f>
      </x:c>
      <x:c r="K36" s="54" t="str">
        <x:f>IF(I36="","未作答",IF(J36=1,"正确","错误"))</x:f>
        <x:v>未作答</x:v>
      </x:c>
      <x:c r="L36" s="68"/>
    </x:row>
    <x:row r="37" ht="62" customHeight="1">
      <x:c r="A37" s="54" t="str">
        <x:v>RK108</x:v>
      </x:c>
      <x:c r="B37" s="54" t="str">
        <x:v>计算机系统与操作系统</x:v>
      </x:c>
      <x:c r="C37" s="54" t="str">
        <x:v>B</x:v>
      </x:c>
      <x:c r="D37" s="54" t="str">
        <x:v>CPU利用率接近100%，但请求延迟暴增时，合理首步是？</x:v>
      </x:c>
      <x:c r="E37" s="54" t="str">
        <x:v>立刻重写前端样式</x:v>
      </x:c>
      <x:c r="F37" s="54" t="str">
        <x:v>删除日志</x:v>
      </x:c>
      <x:c r="G37" s="54" t="str">
        <x:v>禁用监控</x:v>
      </x:c>
      <x:c r="H37" s="54" t="str">
        <x:v>结合负载、CPU剖析、队列和线程指标定位瓶颈</x:v>
      </x:c>
      <x:c r="I37" s="58"/>
      <x:c r="J37" s="54" t="str">
        <x:f>IF(I37="","",IF(I37='答案与解析'!C112,1,0))</x:f>
      </x:c>
      <x:c r="K37" s="54" t="str">
        <x:f>IF(I37="","未作答",IF(J37=1,"正确","错误"))</x:f>
        <x:v>未作答</x:v>
      </x:c>
      <x:c r="L37" s="68"/>
    </x:row>
    <x:row r="38" ht="62" customHeight="1">
      <x:c r="A38" s="54" t="str">
        <x:v>RK109</x:v>
      </x:c>
      <x:c r="B38" s="54" t="str">
        <x:v>工程数学与项目管理</x:v>
      </x:c>
      <x:c r="C38" s="54" t="str">
        <x:v>B</x:v>
      </x:c>
      <x:c r="D38" s="54" t="str">
        <x:v>工程决策中敏感性分析的主要作用是？</x:v>
      </x:c>
      <x:c r="E38" s="54" t="str">
        <x:v>自动批准项目</x:v>
      </x:c>
      <x:c r="F38" s="54" t="str">
        <x:v>自动消除风险</x:v>
      </x:c>
      <x:c r="G38" s="54" t="str">
        <x:v>用于画流程图</x:v>
      </x:c>
      <x:c r="H38" s="54" t="str">
        <x:v>观察关键假设变化对评价结果的影响</x:v>
      </x:c>
      <x:c r="I38" s="58"/>
      <x:c r="J38" s="54" t="str">
        <x:f>IF(I38="","",IF(I38='答案与解析'!C113,1,0))</x:f>
      </x:c>
      <x:c r="K38" s="54" t="str">
        <x:f>IF(I38="","未作答",IF(J38=1,"正确","错误"))</x:f>
        <x:v>未作答</x:v>
      </x:c>
      <x:c r="L38" s="68"/>
    </x:row>
    <x:row r="39" ht="62" customHeight="1">
      <x:c r="A39" s="54" t="str">
        <x:v>RK110</x:v>
      </x:c>
      <x:c r="B39" s="54" t="str">
        <x:v>云原生微服务与AI</x:v>
      </x:c>
      <x:c r="C39" s="54" t="str">
        <x:v>B</x:v>
      </x:c>
      <x:c r="D39" s="54" t="str">
        <x:v>向量数据库在RAG中通常承担？</x:v>
      </x:c>
      <x:c r="E39" s="54" t="str">
        <x:v>向量表示的近似相似检索</x:v>
      </x:c>
      <x:c r="F39" s="54" t="str">
        <x:v>替代所有事务型数据库</x:v>
      </x:c>
      <x:c r="G39" s="54" t="str">
        <x:v>提供消息队列消费语义</x:v>
      </x:c>
      <x:c r="H39" s="54" t="str">
        <x:v>绘制网络拓扑</x:v>
      </x:c>
      <x:c r="I39" s="58"/>
      <x:c r="J39" s="54" t="str">
        <x:f>IF(I39="","",IF(I39='答案与解析'!C114,1,0))</x:f>
      </x:c>
      <x:c r="K39" s="54" t="str">
        <x:f>IF(I39="","未作答",IF(J39=1,"正确","错误"))</x:f>
        <x:v>未作答</x:v>
      </x:c>
      <x:c r="L39" s="68"/>
    </x:row>
    <x:row r="40" ht="62" customHeight="1">
      <x:c r="A40" s="54" t="str">
        <x:v>RK111</x:v>
      </x:c>
      <x:c r="B40" s="54" t="str">
        <x:v>系统实施运维与英语</x:v>
      </x:c>
      <x:c r="C40" s="54" t="str">
        <x:v>B</x:v>
      </x:c>
      <x:c r="D40" s="54" t="str">
        <x:v>英语术语trade-off用于架构分析时指？</x:v>
      </x:c>
      <x:c r="E40" s="54" t="str">
        <x:v>流程自动化</x:v>
      </x:c>
      <x:c r="F40" s="54" t="str">
        <x:v>不同质量属性或约束之间的权衡</x:v>
      </x:c>
      <x:c r="G40" s="54" t="str">
        <x:v>二级缓存</x:v>
      </x:c>
      <x:c r="H40" s="54" t="str">
        <x:v>数据库事务提交</x:v>
      </x:c>
      <x:c r="I40" s="58"/>
      <x:c r="J40" s="54" t="str">
        <x:f>IF(I40="","",IF(I40='答案与解析'!C115,1,0))</x:f>
      </x:c>
      <x:c r="K40" s="54" t="str">
        <x:f>IF(I40="","未作答",IF(J40=1,"正确","错误"))</x:f>
        <x:v>未作答</x:v>
      </x:c>
      <x:c r="L40" s="68"/>
    </x:row>
    <x:row r="41" ht="62" customHeight="1">
      <x:c r="A41" s="54" t="str">
        <x:v>RK112</x:v>
      </x:c>
      <x:c r="B41" s="54" t="str">
        <x:v>需求工程与UML</x:v>
      </x:c>
      <x:c r="C41" s="54" t="str">
        <x:v>A</x:v>
      </x:c>
      <x:c r="D41" s="54" t="str">
        <x:v>原型法特别适合？</x:v>
      </x:c>
      <x:c r="E41" s="54" t="str">
        <x:v>需求完全稳定且无需验证界面的系统</x:v>
      </x:c>
      <x:c r="F41" s="54" t="str">
        <x:v>硬件微码开发</x:v>
      </x:c>
      <x:c r="G41" s="54" t="str">
        <x:v>业务流程不清晰、界面交互需要快速确认的场景</x:v>
      </x:c>
      <x:c r="H41" s="54" t="str">
        <x:v>通过原型代替所有安全测试</x:v>
      </x:c>
      <x:c r="I41" s="58"/>
      <x:c r="J41" s="54" t="str">
        <x:f>IF(I41="","",IF(I41='答案与解析'!C116,1,0))</x:f>
      </x:c>
      <x:c r="K41" s="54" t="str">
        <x:f>IF(I41="","未作答",IF(J41=1,"正确","错误"))</x:f>
        <x:v>未作答</x:v>
      </x:c>
      <x:c r="L41" s="68"/>
    </x:row>
    <x:row r="42" ht="62" customHeight="1">
      <x:c r="A42" s="54" t="str">
        <x:v>RK113</x:v>
      </x:c>
      <x:c r="B42" s="54" t="str">
        <x:v>系统规划与企业信息化</x:v>
      </x:c>
      <x:c r="C42" s="54" t="str">
        <x:v>B</x:v>
      </x:c>
      <x:c r="D42" s="54" t="str">
        <x:v>业务部门提“必须实时”，分析师应优先？</x:v>
      </x:c>
      <x:c r="E42" s="54" t="str">
        <x:v>接受模糊描述</x:v>
      </x:c>
      <x:c r="F42" s="54" t="str">
        <x:v>拒绝处理</x:v>
      </x:c>
      <x:c r="G42" s="54" t="str">
        <x:v>定义实时场景、时延阈值与业务影响</x:v>
      </x:c>
      <x:c r="H42" s="54" t="str">
        <x:v>改用区块链</x:v>
      </x:c>
      <x:c r="I42" s="58"/>
      <x:c r="J42" s="54" t="str">
        <x:f>IF(I42="","",IF(I42='答案与解析'!C117,1,0))</x:f>
      </x:c>
      <x:c r="K42" s="54" t="str">
        <x:f>IF(I42="","未作答",IF(J42=1,"正确","错误"))</x:f>
        <x:v>未作答</x:v>
      </x:c>
      <x:c r="L42" s="68"/>
    </x:row>
    <x:row r="43" ht="62" customHeight="1">
      <x:c r="A43" s="54" t="str">
        <x:v>RK114</x:v>
      </x:c>
      <x:c r="B43" s="54" t="str">
        <x:v>软件工程与开发方法</x:v>
      </x:c>
      <x:c r="C43" s="54" t="str">
        <x:v>B</x:v>
      </x:c>
      <x:c r="D43" s="54" t="str">
        <x:v>DevOps的重要理念是？</x:v>
      </x:c>
      <x:c r="E43" s="54" t="str">
        <x:v>开发与运维相互隔离</x:v>
      </x:c>
      <x:c r="F43" s="54" t="str">
        <x:v>上线后不再监控</x:v>
      </x:c>
      <x:c r="G43" s="54" t="str">
        <x:v>开发、测试、运维协作及交付自动化</x:v>
      </x:c>
      <x:c r="H43" s="54" t="str">
        <x:v>只采购云服务器</x:v>
      </x:c>
      <x:c r="I43" s="58"/>
      <x:c r="J43" s="54" t="str">
        <x:f>IF(I43="","",IF(I43='答案与解析'!C118,1,0))</x:f>
      </x:c>
      <x:c r="K43" s="54" t="str">
        <x:f>IF(I43="","未作答",IF(J43=1,"正确","错误"))</x:f>
        <x:v>未作答</x:v>
      </x:c>
      <x:c r="L43" s="68"/>
    </x:row>
    <x:row r="44" ht="62" customHeight="1">
      <x:c r="A44" s="54" t="str">
        <x:v>RK115</x:v>
      </x:c>
      <x:c r="B44" s="54" t="str">
        <x:v>架构与设计模式</x:v>
      </x:c>
      <x:c r="C44" s="54" t="str">
        <x:v>A</x:v>
      </x:c>
      <x:c r="D44" s="54" t="str">
        <x:v>SAGA模式主要解决？</x:v>
      </x:c>
      <x:c r="E44" s="54" t="str">
        <x:v>多服务长事务的最终一致协调</x:v>
      </x:c>
      <x:c r="F44" s="54" t="str">
        <x:v>单表排序</x:v>
      </x:c>
      <x:c r="G44" s="54" t="str">
        <x:v>CSS样式共享</x:v>
      </x:c>
      <x:c r="H44" s="54" t="str">
        <x:v>密码哈希加盐</x:v>
      </x:c>
      <x:c r="I44" s="58"/>
      <x:c r="J44" s="54" t="str">
        <x:f>IF(I44="","",IF(I44='答案与解析'!C119,1,0))</x:f>
      </x:c>
      <x:c r="K44" s="54" t="str">
        <x:f>IF(I44="","未作答",IF(J44=1,"正确","错误"))</x:f>
        <x:v>未作答</x:v>
      </x:c>
      <x:c r="L44" s="68"/>
    </x:row>
    <x:row r="45" ht="62" customHeight="1">
      <x:c r="A45" s="54" t="str">
        <x:v>RK116</x:v>
      </x:c>
      <x:c r="B45" s="54" t="str">
        <x:v>数据库与数据建模</x:v>
      </x:c>
      <x:c r="C45" s="54" t="str">
        <x:v>A</x:v>
      </x:c>
      <x:c r="D45" s="54" t="str">
        <x:v>需要保留左表全部客户，哪怕没有订单，应使用？</x:v>
      </x:c>
      <x:c r="E45" s="54" t="str">
        <x:v>LEFT JOIN</x:v>
      </x:c>
      <x:c r="F45" s="54" t="str">
        <x:v>INNER JOIN</x:v>
      </x:c>
      <x:c r="G45" s="54" t="str">
        <x:v>CROSS JOIN</x:v>
      </x:c>
      <x:c r="H45" s="54" t="str">
        <x:v>NATURAL JOIN只保留匹配</x:v>
      </x:c>
      <x:c r="I45" s="58"/>
      <x:c r="J45" s="54" t="str">
        <x:f>IF(I45="","",IF(I45='答案与解析'!C120,1,0))</x:f>
      </x:c>
      <x:c r="K45" s="54" t="str">
        <x:f>IF(I45="","未作答",IF(J45=1,"正确","错误"))</x:f>
        <x:v>未作答</x:v>
      </x:c>
      <x:c r="L45" s="68"/>
    </x:row>
    <x:row r="46" ht="62" customHeight="1">
      <x:c r="A46" s="54" t="str">
        <x:v>RK117</x:v>
      </x:c>
      <x:c r="B46" s="54" t="str">
        <x:v>软件测试与质量</x:v>
      </x:c>
      <x:c r="C46" s="54" t="str">
        <x:v>A</x:v>
      </x:c>
      <x:c r="D46" s="54" t="str">
        <x:v>缺陷漏出率较高往往意味着？</x:v>
      </x:c>
      <x:c r="E46" s="54" t="str">
        <x:v>上线后不会出缺陷</x:v>
      </x:c>
      <x:c r="F46" s="54" t="str">
        <x:v>文档太多</x:v>
      </x:c>
      <x:c r="G46" s="54" t="str">
        <x:v>前期验证能力或覆盖存在不足</x:v>
      </x:c>
      <x:c r="H46" s="54" t="str">
        <x:v>系统性能必然提高</x:v>
      </x:c>
      <x:c r="I46" s="58"/>
      <x:c r="J46" s="54" t="str">
        <x:f>IF(I46="","",IF(I46='答案与解析'!C121,1,0))</x:f>
      </x:c>
      <x:c r="K46" s="54" t="str">
        <x:f>IF(I46="","未作答",IF(J46=1,"正确","错误"))</x:f>
        <x:v>未作答</x:v>
      </x:c>
      <x:c r="L46" s="68"/>
    </x:row>
    <x:row r="47" ht="62" customHeight="1">
      <x:c r="A47" s="54" t="str">
        <x:v>RK118</x:v>
      </x:c>
      <x:c r="B47" s="54" t="str">
        <x:v>网络分布式与高可用</x:v>
      </x:c>
      <x:c r="C47" s="54" t="str">
        <x:v>A</x:v>
      </x:c>
      <x:c r="D47" s="54" t="str">
        <x:v>RPO=15分钟表示业务通常愿意接受？</x:v>
      </x:c>
      <x:c r="E47" s="54" t="str">
        <x:v>恢复系统最多耗时15分钟</x:v>
      </x:c>
      <x:c r="F47" s="54" t="str">
        <x:v>日均宕机15分钟</x:v>
      </x:c>
      <x:c r="G47" s="54" t="str">
        <x:v>备份每天只能做一次</x:v>
      </x:c>
      <x:c r="H47" s="54" t="str">
        <x:v>恢复时最大可容忍的数据损失时间窗口约15分钟</x:v>
      </x:c>
      <x:c r="I47" s="58"/>
      <x:c r="J47" s="54" t="str">
        <x:f>IF(I47="","",IF(I47='答案与解析'!C122,1,0))</x:f>
      </x:c>
      <x:c r="K47" s="54" t="str">
        <x:f>IF(I47="","未作答",IF(J47=1,"正确","错误"))</x:f>
        <x:v>未作答</x:v>
      </x:c>
      <x:c r="L47" s="68"/>
    </x:row>
    <x:row r="48" ht="62" customHeight="1">
      <x:c r="A48" s="54" t="str">
        <x:v>RK119</x:v>
      </x:c>
      <x:c r="B48" s="54" t="str">
        <x:v>安全合规与标准</x:v>
      </x:c>
      <x:c r="C48" s="54" t="str">
        <x:v>A</x:v>
      </x:c>
      <x:c r="D48" s="54" t="str">
        <x:v>OAuth 2.0主要解决什么问题？</x:v>
      </x:c>
      <x:c r="E48" s="54" t="str">
        <x:v>业务数据压缩</x:v>
      </x:c>
      <x:c r="F48" s="54" t="str">
        <x:v>受控的第三方授权访问</x:v>
      </x:c>
      <x:c r="G48" s="54" t="str">
        <x:v>网络二层寻址</x:v>
      </x:c>
      <x:c r="H48" s="54" t="str">
        <x:v>硬盘镜像复制</x:v>
      </x:c>
      <x:c r="I48" s="58"/>
      <x:c r="J48" s="54" t="str">
        <x:f>IF(I48="","",IF(I48='答案与解析'!C123,1,0))</x:f>
      </x:c>
      <x:c r="K48" s="54" t="str">
        <x:f>IF(I48="","未作答",IF(J48=1,"正确","错误"))</x:f>
        <x:v>未作答</x:v>
      </x:c>
      <x:c r="L48" s="68"/>
    </x:row>
    <x:row r="49" ht="62" customHeight="1">
      <x:c r="A49" s="54" t="str">
        <x:v>RK120</x:v>
      </x:c>
      <x:c r="B49" s="54" t="str">
        <x:v>计算机系统与操作系统</x:v>
      </x:c>
      <x:c r="C49" s="54" t="str">
        <x:v>B</x:v>
      </x:c>
      <x:c r="D49" s="54" t="str">
        <x:v>软硬件物理节点之间通信的UML图通常是？</x:v>
      </x:c>
      <x:c r="E49" s="54" t="str">
        <x:v>部署图</x:v>
      </x:c>
      <x:c r="F49" s="54" t="str">
        <x:v>类图</x:v>
      </x:c>
      <x:c r="G49" s="54" t="str">
        <x:v>用例图</x:v>
      </x:c>
      <x:c r="H49" s="54" t="str">
        <x:v>状态图</x:v>
      </x:c>
      <x:c r="I49" s="58"/>
      <x:c r="J49" s="54" t="str">
        <x:f>IF(I49="","",IF(I49='答案与解析'!C124,1,0))</x:f>
      </x:c>
      <x:c r="K49" s="54" t="str">
        <x:f>IF(I49="","未作答",IF(J49=1,"正确","错误"))</x:f>
        <x:v>未作答</x:v>
      </x:c>
      <x:c r="L49" s="68"/>
    </x:row>
    <x:row r="50" ht="62" customHeight="1">
      <x:c r="A50" s="54" t="str">
        <x:v>RK121</x:v>
      </x:c>
      <x:c r="B50" s="54" t="str">
        <x:v>工程数学与项目管理</x:v>
      </x:c>
      <x:c r="C50" s="54" t="str">
        <x:v>B</x:v>
      </x:c>
      <x:c r="D50" s="54" t="str">
        <x:v>RACI矩阵中A通常表示？</x:v>
      </x:c>
      <x:c r="E50" s="54" t="str">
        <x:v>对最终结果负责并拥有批准/问责权的角色</x:v>
      </x:c>
      <x:c r="F50" s="54" t="str">
        <x:v>参与协作的所有人</x:v>
      </x:c>
      <x:c r="G50" s="54" t="str">
        <x:v>被咨询的角色</x:v>
      </x:c>
      <x:c r="H50" s="54" t="str">
        <x:v>需要被告知的角色</x:v>
      </x:c>
      <x:c r="I50" s="58"/>
      <x:c r="J50" s="54" t="str">
        <x:f>IF(I50="","",IF(I50='答案与解析'!C125,1,0))</x:f>
      </x:c>
      <x:c r="K50" s="54" t="str">
        <x:f>IF(I50="","未作答",IF(J50=1,"正确","错误"))</x:f>
        <x:v>未作答</x:v>
      </x:c>
      <x:c r="L50" s="68"/>
    </x:row>
    <x:row r="51" ht="62" customHeight="1">
      <x:c r="A51" s="54" t="str">
        <x:v>RK122</x:v>
      </x:c>
      <x:c r="B51" s="54" t="str">
        <x:v>云原生微服务与AI</x:v>
      </x:c>
      <x:c r="C51" s="54" t="str">
        <x:v>B</x:v>
      </x:c>
      <x:c r="D51" s="54" t="str">
        <x:v>模型服务存在提示注入风险，较恰当的方法是？</x:v>
      </x:c>
      <x:c r="E51" s="54" t="str">
        <x:v>把检索网页当作最高级指令</x:v>
      </x:c>
      <x:c r="F51" s="54" t="str">
        <x:v>将外部文本视为不可信输入并限制工具权限</x:v>
      </x:c>
      <x:c r="G51" s="54" t="str">
        <x:v>允许外部内容覆盖系统指令</x:v>
      </x:c>
      <x:c r="H51" s="54" t="str">
        <x:v>禁用全部日志</x:v>
      </x:c>
      <x:c r="I51" s="58"/>
      <x:c r="J51" s="54" t="str">
        <x:f>IF(I51="","",IF(I51='答案与解析'!C126,1,0))</x:f>
      </x:c>
      <x:c r="K51" s="54" t="str">
        <x:f>IF(I51="","未作答",IF(J51=1,"正确","错误"))</x:f>
        <x:v>未作答</x:v>
      </x:c>
      <x:c r="L51" s="68"/>
    </x:row>
    <x:row r="52" ht="62" customHeight="1">
      <x:c r="A52" s="54" t="str">
        <x:v>RK123</x:v>
      </x:c>
      <x:c r="B52" s="54" t="str">
        <x:v>系统实施运维与英语</x:v>
      </x:c>
      <x:c r="C52" s="54" t="str">
        <x:v>B</x:v>
      </x:c>
      <x:c r="D52" s="54" t="str">
        <x:v>英语术语acceptance criteria的含义是？</x:v>
      </x:c>
      <x:c r="E52" s="54" t="str">
        <x:v>代码仓库</x:v>
      </x:c>
      <x:c r="F52" s="54" t="str">
        <x:v>容量规划</x:v>
      </x:c>
      <x:c r="G52" s="54" t="str">
        <x:v>验收标准</x:v>
      </x:c>
      <x:c r="H52" s="54" t="str">
        <x:v>需求变更委员会</x:v>
      </x:c>
      <x:c r="I52" s="58"/>
      <x:c r="J52" s="54" t="str">
        <x:f>IF(I52="","",IF(I52='答案与解析'!C127,1,0))</x:f>
      </x:c>
      <x:c r="K52" s="54" t="str">
        <x:f>IF(I52="","未作答",IF(J52=1,"正确","错误"))</x:f>
        <x:v>未作答</x:v>
      </x:c>
      <x:c r="L52" s="68"/>
    </x:row>
    <x:row r="53" ht="62" customHeight="1">
      <x:c r="A53" s="54" t="str">
        <x:v>RK124</x:v>
      </x:c>
      <x:c r="B53" s="54" t="str">
        <x:v>需求工程与UML</x:v>
      </x:c>
      <x:c r="C53" s="54" t="str">
        <x:v>A</x:v>
      </x:c>
      <x:c r="D53" s="54" t="str">
        <x:v>需求基线确立后发现监管要求变化，正确的处理是？</x:v>
      </x:c>
      <x:c r="E53" s="54" t="str">
        <x:v>悄悄更改代码</x:v>
      </x:c>
      <x:c r="F53" s="54" t="str">
        <x:v>拒绝所有变化</x:v>
      </x:c>
      <x:c r="G53" s="54" t="str">
        <x:v>直接让测试人员口头知晓</x:v>
      </x:c>
      <x:c r="H53" s="54" t="str">
        <x:v>提交变更、分析影响、批准后更新基线</x:v>
      </x:c>
      <x:c r="I53" s="58"/>
      <x:c r="J53" s="54" t="str">
        <x:f>IF(I53="","",IF(I53='答案与解析'!C128,1,0))</x:f>
      </x:c>
      <x:c r="K53" s="54" t="str">
        <x:f>IF(I53="","未作答",IF(J53=1,"正确","错误"))</x:f>
        <x:v>未作答</x:v>
      </x:c>
      <x:c r="L53" s="68"/>
    </x:row>
    <x:row r="54" ht="62" customHeight="1">
      <x:c r="A54" s="54" t="str">
        <x:v>RK125</x:v>
      </x:c>
      <x:c r="B54" s="54" t="str">
        <x:v>系统规划与企业信息化</x:v>
      </x:c>
      <x:c r="C54" s="54" t="str">
        <x:v>B</x:v>
      </x:c>
      <x:c r="D54" s="54" t="str">
        <x:v>跨组织系统集成前最重要的基础是？</x:v>
      </x:c>
      <x:c r="E54" s="54" t="str">
        <x:v>统一所有开发语言</x:v>
      </x:c>
      <x:c r="F54" s="54" t="str">
        <x:v>先购买最大服务器</x:v>
      </x:c>
      <x:c r="G54" s="54" t="str">
        <x:v>先写前端页面</x:v>
      </x:c>
      <x:c r="H54" s="54" t="str">
        <x:v>明确主数据、数据定义和接口契约</x:v>
      </x:c>
      <x:c r="I54" s="58"/>
      <x:c r="J54" s="54" t="str">
        <x:f>IF(I54="","",IF(I54='答案与解析'!C129,1,0))</x:f>
      </x:c>
      <x:c r="K54" s="54" t="str">
        <x:f>IF(I54="","未作答",IF(J54=1,"正确","错误"))</x:f>
        <x:v>未作答</x:v>
      </x:c>
      <x:c r="L54" s="68"/>
    </x:row>
    <x:row r="55" ht="62" customHeight="1">
      <x:c r="A55" s="54" t="str">
        <x:v>RK126</x:v>
      </x:c>
      <x:c r="B55" s="54" t="str">
        <x:v>软件工程与开发方法</x:v>
      </x:c>
      <x:c r="C55" s="54" t="str">
        <x:v>B</x:v>
      </x:c>
      <x:c r="D55" s="54" t="str">
        <x:v>软件配置管理基线的作用是？</x:v>
      </x:c>
      <x:c r="E55" s="54" t="str">
        <x:v>存放临时聊天记录</x:v>
      </x:c>
      <x:c r="F55" s="54" t="str">
        <x:v>绕过审批</x:v>
      </x:c>
      <x:c r="G55" s="54" t="str">
        <x:v>替代代码质量检查</x:v>
      </x:c>
      <x:c r="H55" s="54" t="str">
        <x:v>提供受控可复现的参考版本</x:v>
      </x:c>
      <x:c r="I55" s="58"/>
      <x:c r="J55" s="54" t="str">
        <x:f>IF(I55="","",IF(I55='答案与解析'!C130,1,0))</x:f>
      </x:c>
      <x:c r="K55" s="54" t="str">
        <x:f>IF(I55="","未作答",IF(J55=1,"正确","错误"))</x:f>
        <x:v>未作答</x:v>
      </x:c>
      <x:c r="L55" s="68"/>
    </x:row>
    <x:row r="56" ht="62" customHeight="1">
      <x:c r="A56" s="54" t="str">
        <x:v>RK127</x:v>
      </x:c>
      <x:c r="B56" s="54" t="str">
        <x:v>架构与设计模式</x:v>
      </x:c>
      <x:c r="C56" s="54" t="str">
        <x:v>A</x:v>
      </x:c>
      <x:c r="D56" s="54" t="str">
        <x:v>为外部客户端统一提供鉴权、限流与路由的入口一般是？</x:v>
      </x:c>
      <x:c r="E56" s="54" t="str">
        <x:v>数据仓库</x:v>
      </x:c>
      <x:c r="F56" s="54" t="str">
        <x:v>API网关</x:v>
      </x:c>
      <x:c r="G56" s="54" t="str">
        <x:v>缓存淘汰器</x:v>
      </x:c>
      <x:c r="H56" s="54" t="str">
        <x:v>构建服务器</x:v>
      </x:c>
      <x:c r="I56" s="58"/>
      <x:c r="J56" s="54" t="str">
        <x:f>IF(I56="","",IF(I56='答案与解析'!C131,1,0))</x:f>
      </x:c>
      <x:c r="K56" s="54" t="str">
        <x:f>IF(I56="","未作答",IF(J56=1,"正确","错误"))</x:f>
        <x:v>未作答</x:v>
      </x:c>
      <x:c r="L56" s="68"/>
    </x:row>
    <x:row r="57" ht="62" customHeight="1">
      <x:c r="A57" s="54" t="str">
        <x:v>RK128</x:v>
      </x:c>
      <x:c r="B57" s="54" t="str">
        <x:v>数据库与数据建模</x:v>
      </x:c>
      <x:c r="C57" s="54" t="str">
        <x:v>A</x:v>
      </x:c>
      <x:c r="D57" s="54" t="str">
        <x:v>常见缓存一致性方案中，写数据库后删除缓存的策略称为？</x:v>
      </x:c>
      <x:c r="E57" s="54" t="str">
        <x:v>永久缓存</x:v>
      </x:c>
      <x:c r="F57" s="54" t="str">
        <x:v>Cache Aside中常见的写路径</x:v>
      </x:c>
      <x:c r="G57" s="54" t="str">
        <x:v>二阶段锁</x:v>
      </x:c>
      <x:c r="H57" s="54" t="str">
        <x:v>视图更新</x:v>
      </x:c>
      <x:c r="I57" s="58"/>
      <x:c r="J57" s="54" t="str">
        <x:f>IF(I57="","",IF(I57='答案与解析'!C132,1,0))</x:f>
      </x:c>
      <x:c r="K57" s="54" t="str">
        <x:f>IF(I57="","未作答",IF(J57=1,"正确","错误"))</x:f>
        <x:v>未作答</x:v>
      </x:c>
      <x:c r="L57" s="68"/>
    </x:row>
    <x:row r="58" ht="62" customHeight="1">
      <x:c r="A58" s="54" t="str">
        <x:v>RK129</x:v>
      </x:c>
      <x:c r="B58" s="54" t="str">
        <x:v>软件测试与质量</x:v>
      </x:c>
      <x:c r="C58" s="54" t="str">
        <x:v>A</x:v>
      </x:c>
      <x:c r="D58" s="54" t="str">
        <x:v>用户验收测试UAT主要用于？</x:v>
      </x:c>
      <x:c r="E58" s="54" t="str">
        <x:v>验证编译器正确性</x:v>
      </x:c>
      <x:c r="F58" s="54" t="str">
        <x:v>替代安全合规评估</x:v>
      </x:c>
      <x:c r="G58" s="54" t="str">
        <x:v>调试网络驱动</x:v>
      </x:c>
      <x:c r="H58" s="54" t="str">
        <x:v>由业务方验证业务流程及验收标准</x:v>
      </x:c>
      <x:c r="I58" s="58"/>
      <x:c r="J58" s="54" t="str">
        <x:f>IF(I58="","",IF(I58='答案与解析'!C133,1,0))</x:f>
      </x:c>
      <x:c r="K58" s="54" t="str">
        <x:f>IF(I58="","未作答",IF(J58=1,"正确","错误"))</x:f>
        <x:v>未作答</x:v>
      </x:c>
      <x:c r="L58" s="68"/>
    </x:row>
    <x:row r="59" ht="62" customHeight="1">
      <x:c r="A59" s="54" t="str">
        <x:v>RK130</x:v>
      </x:c>
      <x:c r="B59" s="54" t="str">
        <x:v>网络分布式与高可用</x:v>
      </x:c>
      <x:c r="C59" s="54" t="str">
        <x:v>A</x:v>
      </x:c>
      <x:c r="D59" s="54" t="str">
        <x:v>RTO=2小时意味着？</x:v>
      </x:c>
      <x:c r="E59" s="54" t="str">
        <x:v>故障后目标在2小时内恢复所需服务</x:v>
      </x:c>
      <x:c r="F59" s="54" t="str">
        <x:v>保留两小时日志</x:v>
      </x:c>
      <x:c r="G59" s="54" t="str">
        <x:v>最大可丢失两小时数据</x:v>
      </x:c>
      <x:c r="H59" s="54" t="str">
        <x:v>每两小时做一次全量备份</x:v>
      </x:c>
      <x:c r="I59" s="58"/>
      <x:c r="J59" s="54" t="str">
        <x:f>IF(I59="","",IF(I59='答案与解析'!C134,1,0))</x:f>
      </x:c>
      <x:c r="K59" s="54" t="str">
        <x:f>IF(I59="","未作答",IF(J59=1,"正确","错误"))</x:f>
        <x:v>未作答</x:v>
      </x:c>
      <x:c r="L59" s="68"/>
    </x:row>
    <x:row r="60" ht="62" customHeight="1">
      <x:c r="A60" s="54" t="str">
        <x:v>RK131</x:v>
      </x:c>
      <x:c r="B60" s="54" t="str">
        <x:v>安全合规与标准</x:v>
      </x:c>
      <x:c r="C60" s="54" t="str">
        <x:v>A</x:v>
      </x:c>
      <x:c r="D60" s="54" t="str">
        <x:v>零信任架构更接近哪种理念？</x:v>
      </x:c>
      <x:c r="E60" s="54" t="str">
        <x:v>内网流量全部无需检查</x:v>
      </x:c>
      <x:c r="F60" s="54" t="str">
        <x:v>一次登录后永久信任</x:v>
      </x:c>
      <x:c r="G60" s="54" t="str">
        <x:v>持续验证、最小权限且不因网络位置默认信任</x:v>
      </x:c>
      <x:c r="H60" s="54" t="str">
        <x:v>禁用身份认证</x:v>
      </x:c>
      <x:c r="I60" s="58"/>
      <x:c r="J60" s="54" t="str">
        <x:f>IF(I60="","",IF(I60='答案与解析'!C135,1,0))</x:f>
      </x:c>
      <x:c r="K60" s="54" t="str">
        <x:f>IF(I60="","未作答",IF(J60=1,"正确","错误"))</x:f>
        <x:v>未作答</x:v>
      </x:c>
      <x:c r="L60" s="68"/>
    </x:row>
    <x:row r="61" ht="62" customHeight="1">
      <x:c r="A61" s="54" t="str">
        <x:v>RK132</x:v>
      </x:c>
      <x:c r="B61" s="54" t="str">
        <x:v>计算机系统与操作系统</x:v>
      </x:c>
      <x:c r="C61" s="54" t="str">
        <x:v>B</x:v>
      </x:c>
      <x:c r="D61" s="54" t="str">
        <x:v>对嵌入式硬实时控制，最重要的操作系统性质是？</x:v>
      </x:c>
      <x:c r="E61" s="54" t="str">
        <x:v>丰富桌面主题</x:v>
      </x:c>
      <x:c r="F61" s="54" t="str">
        <x:v>可预测的最坏情况响应时间</x:v>
      </x:c>
      <x:c r="G61" s="54" t="str">
        <x:v>应用商店数量</x:v>
      </x:c>
      <x:c r="H61" s="54" t="str">
        <x:v>每次升级最新内核</x:v>
      </x:c>
      <x:c r="I61" s="58"/>
      <x:c r="J61" s="54" t="str">
        <x:f>IF(I61="","",IF(I61='答案与解析'!C136,1,0))</x:f>
      </x:c>
      <x:c r="K61" s="54" t="str">
        <x:f>IF(I61="","未作答",IF(J61=1,"正确","错误"))</x:f>
        <x:v>未作答</x:v>
      </x:c>
      <x:c r="L61" s="68"/>
    </x:row>
    <x:row r="62" ht="62" customHeight="1">
      <x:c r="A62" s="54" t="str">
        <x:v>RK133</x:v>
      </x:c>
      <x:c r="B62" s="54" t="str">
        <x:v>工程数学与项目管理</x:v>
      </x:c>
      <x:c r="C62" s="54" t="str">
        <x:v>B</x:v>
      </x:c>
      <x:c r="D62" s="54" t="str">
        <x:v>项目风险“发生概率30%，损失100万元”，其期望货币价值是？</x:v>
      </x:c>
      <x:c r="E62" s="54" t="str">
        <x:v>70万元</x:v>
      </x:c>
      <x:c r="F62" s="54" t="str">
        <x:v>30万元</x:v>
      </x:c>
      <x:c r="G62" s="54" t="str">
        <x:v>100万元</x:v>
      </x:c>
      <x:c r="H62" s="54" t="str">
        <x:v>3万元</x:v>
      </x:c>
      <x:c r="I62" s="58"/>
      <x:c r="J62" s="54" t="str">
        <x:f>IF(I62="","",IF(I62='答案与解析'!C137,1,0))</x:f>
      </x:c>
      <x:c r="K62" s="54" t="str">
        <x:f>IF(I62="","未作答",IF(J62=1,"正确","错误"))</x:f>
        <x:v>未作答</x:v>
      </x:c>
      <x:c r="L62" s="68"/>
    </x:row>
    <x:row r="63" ht="62" customHeight="1">
      <x:c r="A63" s="54" t="str">
        <x:v>RK134</x:v>
      </x:c>
      <x:c r="B63" s="54" t="str">
        <x:v>云原生微服务与AI</x:v>
      </x:c>
      <x:c r="C63" s="54" t="str">
        <x:v>B</x:v>
      </x:c>
      <x:c r="D63" s="54" t="str">
        <x:v>AI生成测试用例质量评估不能只看题数，还要看？</x:v>
      </x:c>
      <x:c r="E63" s="54" t="str">
        <x:v>模型宣传价格</x:v>
      </x:c>
      <x:c r="F63" s="54" t="str">
        <x:v>代码行数越多越好</x:v>
      </x:c>
      <x:c r="G63" s="54" t="str">
        <x:v>需求覆盖、边界覆盖、缺陷检出和误报情况</x:v>
      </x:c>
      <x:c r="H63" s="54" t="str">
        <x:v>是否使用最多表情</x:v>
      </x:c>
      <x:c r="I63" s="58"/>
      <x:c r="J63" s="54" t="str">
        <x:f>IF(I63="","",IF(I63='答案与解析'!C138,1,0))</x:f>
      </x:c>
      <x:c r="K63" s="54" t="str">
        <x:f>IF(I63="","未作答",IF(J63=1,"正确","错误"))</x:f>
        <x:v>未作答</x:v>
      </x:c>
      <x:c r="L63" s="68"/>
    </x:row>
    <x:row r="64" ht="62" customHeight="1">
      <x:c r="A64" s="54" t="str">
        <x:v>RK135</x:v>
      </x:c>
      <x:c r="B64" s="54" t="str">
        <x:v>需求工程与UML</x:v>
      </x:c>
      <x:c r="C64" s="54" t="str">
        <x:v>A</x:v>
      </x:c>
      <x:c r="D64" s="54" t="str">
        <x:v>“用户可导出当月销售清单”为何类需求？</x:v>
      </x:c>
      <x:c r="E64" s="54" t="str">
        <x:v>功能需求</x:v>
      </x:c>
      <x:c r="F64" s="54" t="str">
        <x:v>可靠性要求</x:v>
      </x:c>
      <x:c r="G64" s="54" t="str">
        <x:v>可维护性要求</x:v>
      </x:c>
      <x:c r="H64" s="54" t="str">
        <x:v>保密性要求</x:v>
      </x:c>
      <x:c r="I64" s="58"/>
      <x:c r="J64" s="54" t="str">
        <x:f>IF(I64="","",IF(I64='答案与解析'!C139,1,0))</x:f>
      </x:c>
      <x:c r="K64" s="54" t="str">
        <x:f>IF(I64="","未作答",IF(J64=1,"正确","错误"))</x:f>
        <x:v>未作答</x:v>
      </x:c>
      <x:c r="L64" s="68"/>
    </x:row>
    <x:row r="65" ht="62" customHeight="1">
      <x:c r="A65" s="54" t="str">
        <x:v>RK136</x:v>
      </x:c>
      <x:c r="B65" s="54" t="str">
        <x:v>系统规划与企业信息化</x:v>
      </x:c>
      <x:c r="C65" s="54" t="str">
        <x:v>B</x:v>
      </x:c>
      <x:c r="D65" s="54" t="str">
        <x:v>信息化收益中“审批平均周期由5天降到2天”更接近？</x:v>
      </x:c>
      <x:c r="E65" s="54" t="str">
        <x:v>可衡量的业务流程效益</x:v>
      </x:c>
      <x:c r="F65" s="54" t="str">
        <x:v>软件编译优化</x:v>
      </x:c>
      <x:c r="G65" s="54" t="str">
        <x:v>外键约束</x:v>
      </x:c>
      <x:c r="H65" s="54" t="str">
        <x:v>代码静态类型</x:v>
      </x:c>
      <x:c r="I65" s="58"/>
      <x:c r="J65" s="54" t="str">
        <x:f>IF(I65="","",IF(I65='答案与解析'!C140,1,0))</x:f>
      </x:c>
      <x:c r="K65" s="54" t="str">
        <x:f>IF(I65="","未作答",IF(J65=1,"正确","错误"))</x:f>
        <x:v>未作答</x:v>
      </x:c>
      <x:c r="L65" s="68"/>
    </x:row>
    <x:row r="66" ht="62" customHeight="1">
      <x:c r="A66" s="54" t="str">
        <x:v>RK137</x:v>
      </x:c>
      <x:c r="B66" s="54" t="str">
        <x:v>软件工程与开发方法</x:v>
      </x:c>
      <x:c r="C66" s="54" t="str">
        <x:v>B</x:v>
      </x:c>
      <x:c r="D66" s="54" t="str">
        <x:v>系统迭代回顾会议的主要目的？</x:v>
      </x:c>
      <x:c r="E66" s="54" t="str">
        <x:v>总结可改进事项并跟踪行动</x:v>
      </x:c>
      <x:c r="F66" s="54" t="str">
        <x:v>决定数据库字段类型</x:v>
      </x:c>
      <x:c r="G66" s="54" t="str">
        <x:v>计算路由最短路径</x:v>
      </x:c>
      <x:c r="H66" s="54" t="str">
        <x:v>核对发票税率</x:v>
      </x:c>
      <x:c r="I66" s="58"/>
      <x:c r="J66" s="54" t="str">
        <x:f>IF(I66="","",IF(I66='答案与解析'!C141,1,0))</x:f>
      </x:c>
      <x:c r="K66" s="54" t="str">
        <x:f>IF(I66="","未作答",IF(J66=1,"正确","错误"))</x:f>
        <x:v>未作答</x:v>
      </x:c>
      <x:c r="L66" s="68"/>
    </x:row>
    <x:row r="67" ht="62" customHeight="1">
      <x:c r="A67" s="54" t="str">
        <x:v>RK138</x:v>
      </x:c>
      <x:c r="B67" s="54" t="str">
        <x:v>架构与设计模式</x:v>
      </x:c>
      <x:c r="C67" s="54" t="str">
        <x:v>A</x:v>
      </x:c>
      <x:c r="D67" s="54" t="str">
        <x:v>使用CQRS的典型原因是？</x:v>
      </x:c>
      <x:c r="E67" s="54" t="str">
        <x:v>所有读写模型都必须一致</x:v>
      </x:c>
      <x:c r="F67" s="54" t="str">
        <x:v>只为了减少代码量</x:v>
      </x:c>
      <x:c r="G67" s="54" t="str">
        <x:v>读写负载和模型差异大，需要分别优化</x:v>
      </x:c>
      <x:c r="H67" s="54" t="str">
        <x:v>确保零运维成本</x:v>
      </x:c>
      <x:c r="I67" s="58"/>
      <x:c r="J67" s="54" t="str">
        <x:f>IF(I67="","",IF(I67='答案与解析'!C142,1,0))</x:f>
      </x:c>
      <x:c r="K67" s="54" t="str">
        <x:f>IF(I67="","未作答",IF(J67=1,"正确","错误"))</x:f>
        <x:v>未作答</x:v>
      </x:c>
      <x:c r="L67" s="68"/>
    </x:row>
    <x:row r="68" ht="62" customHeight="1">
      <x:c r="A68" s="54" t="str">
        <x:v>RK139</x:v>
      </x:c>
      <x:c r="B68" s="54" t="str">
        <x:v>数据库与数据建模</x:v>
      </x:c>
      <x:c r="C68" s="54" t="str">
        <x:v>A</x:v>
      </x:c>
      <x:c r="D68" s="54" t="str">
        <x:v>分库分表的分片键选择，最需要综合考虑？</x:v>
      </x:c>
      <x:c r="E68" s="54" t="str">
        <x:v>只考虑表名好听</x:v>
      </x:c>
      <x:c r="F68" s="54" t="str">
        <x:v>只考虑每表字段数</x:v>
      </x:c>
      <x:c r="G68" s="54" t="str">
        <x:v>查询路径、数据分布、热点与扩容需求</x:v>
      </x:c>
      <x:c r="H68" s="54" t="str">
        <x:v>一律用当前日期</x:v>
      </x:c>
      <x:c r="I68" s="58"/>
      <x:c r="J68" s="54" t="str">
        <x:f>IF(I68="","",IF(I68='答案与解析'!C143,1,0))</x:f>
      </x:c>
      <x:c r="K68" s="54" t="str">
        <x:f>IF(I68="","未作答",IF(J68=1,"正确","错误"))</x:f>
        <x:v>未作答</x:v>
      </x:c>
      <x:c r="L68" s="68"/>
    </x:row>
    <x:row r="69" ht="62" customHeight="1">
      <x:c r="A69" s="54" t="str">
        <x:v>RK140</x:v>
      </x:c>
      <x:c r="B69" s="54" t="str">
        <x:v>软件测试与质量</x:v>
      </x:c>
      <x:c r="C69" s="54" t="str">
        <x:v>A</x:v>
      </x:c>
      <x:c r="D69" s="54" t="str">
        <x:v>针对LLM生成的测试用例，最应增加的控制是？</x:v>
      </x:c>
      <x:c r="E69" s="54" t="str">
        <x:v>人工复核、覆盖度检查与可复现执行验证</x:v>
      </x:c>
      <x:c r="F69" s="54" t="str">
        <x:v>直接视为充分正确</x:v>
      </x:c>
      <x:c r="G69" s="54" t="str">
        <x:v>彻底取消人工测试</x:v>
      </x:c>
      <x:c r="H69" s="54" t="str">
        <x:v>只检查自然语言流畅度</x:v>
      </x:c>
      <x:c r="I69" s="58"/>
      <x:c r="J69" s="54" t="str">
        <x:f>IF(I69="","",IF(I69='答案与解析'!C144,1,0))</x:f>
      </x:c>
      <x:c r="K69" s="54" t="str">
        <x:f>IF(I69="","未作答",IF(J69=1,"正确","错误"))</x:f>
        <x:v>未作答</x:v>
      </x:c>
      <x:c r="L69" s="68"/>
    </x:row>
    <x:row r="70" ht="62" customHeight="1">
      <x:c r="A70" s="54" t="str">
        <x:v>RK141</x:v>
      </x:c>
      <x:c r="B70" s="54" t="str">
        <x:v>网络分布式与高可用</x:v>
      </x:c>
      <x:c r="C70" s="54" t="str">
        <x:v>A</x:v>
      </x:c>
      <x:c r="D70" s="54" t="str">
        <x:v>系统要求“读多写少、接受短期旧数据”，应优先考虑？</x:v>
      </x:c>
      <x:c r="E70" s="54" t="str">
        <x:v>关闭读缓存</x:v>
      </x:c>
      <x:c r="F70" s="54" t="str">
        <x:v>只读副本与缓存加速并设置失效策略</x:v>
      </x:c>
      <x:c r="G70" s="54" t="str">
        <x:v>把所有读取变为分布式事务</x:v>
      </x:c>
      <x:c r="H70" s="54" t="str">
        <x:v>禁用CDN</x:v>
      </x:c>
      <x:c r="I70" s="58"/>
      <x:c r="J70" s="54" t="str">
        <x:f>IF(I70="","",IF(I70='答案与解析'!C145,1,0))</x:f>
      </x:c>
      <x:c r="K70" s="54" t="str">
        <x:f>IF(I70="","未作答",IF(J70=1,"正确","错误"))</x:f>
        <x:v>未作答</x:v>
      </x:c>
      <x:c r="L70" s="68"/>
    </x:row>
    <x:row r="71" ht="62" customHeight="1">
      <x:c r="A71" s="54" t="str">
        <x:v>RK142</x:v>
      </x:c>
      <x:c r="B71" s="54" t="str">
        <x:v>安全合规与标准</x:v>
      </x:c>
      <x:c r="C71" s="54" t="str">
        <x:v>A</x:v>
      </x:c>
      <x:c r="D71" s="54" t="str">
        <x:v>发生勒索软件事件时，仅有备份还不够，必须关注？</x:v>
      </x:c>
      <x:c r="E71" s="54" t="str">
        <x:v>网页字体</x:v>
      </x:c>
      <x:c r="F71" s="54" t="str">
        <x:v>自动刷新频率</x:v>
      </x:c>
      <x:c r="G71" s="54" t="str">
        <x:v>数据库表名字数</x:v>
      </x:c>
      <x:c r="H71" s="54" t="str">
        <x:v>离线或不可变备份及定期恢复演练</x:v>
      </x:c>
      <x:c r="I71" s="58"/>
      <x:c r="J71" s="54" t="str">
        <x:f>IF(I71="","",IF(I71='答案与解析'!C146,1,0))</x:f>
      </x:c>
      <x:c r="K71" s="54" t="str">
        <x:f>IF(I71="","未作答",IF(J71=1,"正确","错误"))</x:f>
        <x:v>未作答</x:v>
      </x:c>
      <x:c r="L71" s="68"/>
    </x:row>
    <x:row r="72" ht="62" customHeight="1">
      <x:c r="A72" s="54" t="str">
        <x:v>RK143</x:v>
      </x:c>
      <x:c r="B72" s="54" t="str">
        <x:v>云原生微服务与AI</x:v>
      </x:c>
      <x:c r="C72" s="54" t="str">
        <x:v>B</x:v>
      </x:c>
      <x:c r="D72" s="54" t="str">
        <x:v>蓝绿部署与金丝雀发布的主要区别之一是？</x:v>
      </x:c>
      <x:c r="E72" s="54" t="str">
        <x:v>两者都必须中断服务</x:v>
      </x:c>
      <x:c r="F72" s="54" t="str">
        <x:v>金丝雀只能人工部署</x:v>
      </x:c>
      <x:c r="G72" s="54" t="str">
        <x:v>蓝绿不能回滚</x:v>
      </x:c>
      <x:c r="H72" s="54" t="str">
        <x:v>蓝绿切换完整环境，金丝雀逐步放量给部分流量</x:v>
      </x:c>
      <x:c r="I72" s="58"/>
      <x:c r="J72" s="54" t="str">
        <x:f>IF(I72="","",IF(I72='答案与解析'!C147,1,0))</x:f>
      </x:c>
      <x:c r="K72" s="54" t="str">
        <x:f>IF(I72="","未作答",IF(J72=1,"正确","错误"))</x:f>
        <x:v>未作答</x:v>
      </x:c>
      <x:c r="L72" s="68"/>
    </x:row>
    <x:row r="73" ht="62" customHeight="1">
      <x:c r="A73" s="54" t="str">
        <x:v>RK144</x:v>
      </x:c>
      <x:c r="B73" s="54" t="str">
        <x:v>需求工程与UML</x:v>
      </x:c>
      <x:c r="C73" s="54" t="str">
        <x:v>A</x:v>
      </x:c>
      <x:c r="D73" s="54" t="str">
        <x:v>识别系统边界与外部参与者时，首先应明确？</x:v>
      </x:c>
      <x:c r="E73" s="54" t="str">
        <x:v>显示器型号</x:v>
      </x:c>
      <x:c r="F73" s="54" t="str">
        <x:v>业务目标、职责边界与交互对象</x:v>
      </x:c>
      <x:c r="G73" s="54" t="str">
        <x:v>编译优化级别</x:v>
      </x:c>
      <x:c r="H73" s="54" t="str">
        <x:v>代码分支命名规范</x:v>
      </x:c>
      <x:c r="I73" s="58"/>
      <x:c r="J73" s="54" t="str">
        <x:f>IF(I73="","",IF(I73='答案与解析'!C148,1,0))</x:f>
      </x:c>
      <x:c r="K73" s="54" t="str">
        <x:f>IF(I73="","未作答",IF(J73=1,"正确","错误"))</x:f>
        <x:v>未作答</x:v>
      </x:c>
      <x:c r="L73" s="68"/>
    </x:row>
    <x:row r="74" ht="62" customHeight="1">
      <x:c r="A74" s="54" t="str">
        <x:v>RK145</x:v>
      </x:c>
      <x:c r="B74" s="54" t="str">
        <x:v>架构与设计模式</x:v>
      </x:c>
      <x:c r="C74" s="54" t="str">
        <x:v>A</x:v>
      </x:c>
      <x:c r="D74" s="54" t="str">
        <x:v>当业务需要不停机扩容时，服务设计应优先满足？</x:v>
      </x:c>
      <x:c r="E74" s="54" t="str">
        <x:v>将会话永久存于单实例内存</x:v>
      </x:c>
      <x:c r="F74" s="54" t="str">
        <x:v>只部署一台服务器</x:v>
      </x:c>
      <x:c r="G74" s="54" t="str">
        <x:v>禁用负载均衡</x:v>
      </x:c>
      <x:c r="H74" s="54" t="str">
        <x:v>尽可能无状态并外置共享会话/状态</x:v>
      </x:c>
      <x:c r="I74" s="58"/>
      <x:c r="J74" s="54" t="str">
        <x:f>IF(I74="","",IF(I74='答案与解析'!C149,1,0))</x:f>
      </x:c>
      <x:c r="K74" s="54" t="str">
        <x:f>IF(I74="","未作答",IF(J74=1,"正确","错误"))</x:f>
        <x:v>未作答</x:v>
      </x:c>
      <x:c r="L74" s="68"/>
    </x:row>
    <x:row r="75" ht="62" customHeight="1">
      <x:c r="A75" s="54" t="str">
        <x:v>RK146</x:v>
      </x:c>
      <x:c r="B75" s="54" t="str">
        <x:v>数据库与数据建模</x:v>
      </x:c>
      <x:c r="C75" s="54" t="str">
        <x:v>A</x:v>
      </x:c>
      <x:c r="D75" s="54" t="str">
        <x:v>关系表中外键约束主要保证？</x:v>
      </x:c>
      <x:c r="E75" s="54" t="str">
        <x:v>降低所有查询时延</x:v>
      </x:c>
      <x:c r="F75" s="54" t="str">
        <x:v>用户界面一致</x:v>
      </x:c>
      <x:c r="G75" s="54" t="str">
        <x:v>完整日志追踪</x:v>
      </x:c>
      <x:c r="H75" s="54" t="str">
        <x:v>引用完整性</x:v>
      </x:c>
      <x:c r="I75" s="58"/>
      <x:c r="J75" s="54" t="str">
        <x:f>IF(I75="","",IF(I75='答案与解析'!C150,1,0))</x:f>
      </x:c>
      <x:c r="K75" s="54" t="str">
        <x:f>IF(I75="","未作答",IF(J75=1,"正确","错误"))</x:f>
        <x:v>未作答</x:v>
      </x:c>
      <x:c r="L75" s="68"/>
    </x:row>
    <x:row r="76" ht="62" customHeight="1">
      <x:c r="A76" s="54" t="str">
        <x:v>RK147</x:v>
      </x:c>
      <x:c r="B76" s="54" t="str">
        <x:v>软件测试与质量</x:v>
      </x:c>
      <x:c r="C76" s="54" t="str">
        <x:v>A</x:v>
      </x:c>
      <x:c r="D76" s="54" t="str">
        <x:v>混沌工程的合理目标是？</x:v>
      </x:c>
      <x:c r="E76" s="54" t="str">
        <x:v>让生产环境长期不可用</x:v>
      </x:c>
      <x:c r="F76" s="54" t="str">
        <x:v>在受控条件下注入故障验证系统韧性</x:v>
      </x:c>
      <x:c r="G76" s="54" t="str">
        <x:v>替代数据库备份</x:v>
      </x:c>
      <x:c r="H76" s="54" t="str">
        <x:v>使日志不可追踪</x:v>
      </x:c>
      <x:c r="I76" s="58"/>
      <x:c r="J76" s="54" t="str">
        <x:f>IF(I76="","",IF(I76='答案与解析'!C151,1,0))</x:f>
      </x:c>
      <x:c r="K76" s="54" t="str">
        <x:f>IF(I76="","未作答",IF(J76=1,"正确","错误"))</x:f>
        <x:v>未作答</x:v>
      </x:c>
      <x:c r="L76" s="68"/>
    </x:row>
    <x:row r="77" ht="62" customHeight="1">
      <x:c r="A77" s="54" t="str">
        <x:v>RK148</x:v>
      </x:c>
      <x:c r="B77" s="54" t="str">
        <x:v>网络分布式与高可用</x:v>
      </x:c>
      <x:c r="C77" s="54" t="str">
        <x:v>A</x:v>
      </x:c>
      <x:c r="D77" s="54" t="str">
        <x:v>分布式链路追踪中trace ID主要用于？</x:v>
      </x:c>
      <x:c r="E77" s="54" t="str">
        <x:v>生成数据库主键</x:v>
      </x:c>
      <x:c r="F77" s="54" t="str">
        <x:v>替代访问授权</x:v>
      </x:c>
      <x:c r="G77" s="54" t="str">
        <x:v>关联跨服务调用链中的事件和Span</x:v>
      </x:c>
      <x:c r="H77" s="54" t="str">
        <x:v>缓存所有日志</x:v>
      </x:c>
      <x:c r="I77" s="58"/>
      <x:c r="J77" s="54" t="str">
        <x:f>IF(I77="","",IF(I77='答案与解析'!C152,1,0))</x:f>
      </x:c>
      <x:c r="K77" s="54" t="str">
        <x:f>IF(I77="","未作答",IF(J77=1,"正确","错误"))</x:f>
        <x:v>未作答</x:v>
      </x:c>
      <x:c r="L77" s="68"/>
    </x:row>
    <x:row r="78" ht="62" customHeight="1">
      <x:c r="A78" s="54" t="str">
        <x:v>RK149</x:v>
      </x:c>
      <x:c r="B78" s="54" t="str">
        <x:v>需求工程与UML</x:v>
      </x:c>
      <x:c r="C78" s="54" t="str">
        <x:v>A</x:v>
      </x:c>
      <x:c r="D78" s="54" t="str">
        <x:v>验收标准最好的表述是？</x:v>
      </x:c>
      <x:c r="E78" s="54" t="str">
        <x:v>页面看起来专业</x:v>
      </x:c>
      <x:c r="F78" s="54" t="str">
        <x:v>接口性能应该很好</x:v>
      </x:c>
      <x:c r="G78" s="54" t="str">
        <x:v>1000并发用户下95%请求在2秒内完成</x:v>
      </x:c>
      <x:c r="H78" s="54" t="str">
        <x:v>尽量少出现错误</x:v>
      </x:c>
      <x:c r="I78" s="58"/>
      <x:c r="J78" s="54" t="str">
        <x:f>IF(I78="","",IF(I78='答案与解析'!C153,1,0))</x:f>
      </x:c>
      <x:c r="K78" s="54" t="str">
        <x:f>IF(I78="","未作答",IF(J78=1,"正确","错误"))</x:f>
        <x:v>未作答</x:v>
      </x:c>
      <x:c r="L78" s="68"/>
    </x:row>
    <x:row r="79" ht="62" customHeight="1">
      <x:c r="A79" s="54" t="str">
        <x:v>RK150</x:v>
      </x:c>
      <x:c r="B79" s="54" t="str">
        <x:v>架构与设计模式</x:v>
      </x:c>
      <x:c r="C79" s="54" t="str">
        <x:v>A</x:v>
      </x:c>
      <x:c r="D79" s="54" t="str">
        <x:v>评估架构是否满足质量属性，最有效的是？</x:v>
      </x:c>
      <x:c r="E79" s="54" t="str">
        <x:v>用具体场景、刺激、响应和度量衡量</x:v>
      </x:c>
      <x:c r="F79" s="54" t="str">
        <x:v>只画出漂亮架构图</x:v>
      </x:c>
      <x:c r="G79" s="54" t="str">
        <x:v>只统计类数量</x:v>
      </x:c>
      <x:c r="H79" s="54" t="str">
        <x:v>只问开发人员喜好</x:v>
      </x:c>
      <x:c r="I79" s="58"/>
      <x:c r="J79" s="54" t="str">
        <x:f>IF(I79="","",IF(I79='答案与解析'!C154,1,0))</x:f>
      </x:c>
      <x:c r="K79" s="54" t="str">
        <x:f>IF(I79="","未作答",IF(J79=1,"正确","错误"))</x:f>
        <x:v>未作答</x:v>
      </x:c>
      <x:c r="L79" s="68"/>
    </x:row>
  </x:sheetData>
  <x:mergeCells>
    <x:mergeCell ref="A1:L1"/>
    <x:mergeCell ref="A2:L2"/>
  </x:mergeCells>
  <x:conditionalFormatting sqref="K5:K79">
    <x:cfRule type="expression" dxfId="2" priority="1">
      <x:formula>$K5="错误"</x:formula>
    </x:cfRule>
    <x:cfRule type="expression" dxfId="3" priority="2">
      <x:formula>$K5="正确"</x:formula>
    </x:cfRule>
  </x:conditionalFormatting>
  <x:dataValidations count="1">
    <x:dataValidation type="list" sqref="I5:I79">
      <x:formula1>"A,B,C,D"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17" hidden="0" customWidth="1"/>
    <x:col min="4" max="4" width="105" hidden="0" customWidth="1"/>
    <x:col min="5" max="5" width="18" hidden="0" customWidth="1"/>
  </x:cols>
  <x:sheetData>
    <x:row r="1" ht="34" customHeight="1">
      <x:c r="A1" s="4" t="str">
        <x:v>答案与解析｜150题总索引</x:v>
      </x:c>
      <x:c r="B1" s="4"/>
      <x:c r="C1" s="4"/>
      <x:c r="D1" s="4"/>
      <x:c r="E1" s="4"/>
    </x:row>
    <x:row r="2" ht="25" customHeight="1">
      <x:c r="A2" s="11" t="str">
        <x:v>题号与题库一一对应：RK001—RK075对应章节训练；RK076—RK150对应综合模考</x:v>
      </x:c>
      <x:c r="B2" s="11"/>
      <x:c r="C2" s="11"/>
      <x:c r="D2" s="11"/>
      <x:c r="E2" s="11"/>
    </x:row>
    <x:row r="3">
      <x:c r="A3" t="str"/>
    </x:row>
    <x:row r="4" ht="29" customHeight="1">
      <x:c r="A4" s="46" t="str">
        <x:v>题号</x:v>
      </x:c>
      <x:c r="B4" s="46" t="str">
        <x:v>模块</x:v>
      </x:c>
      <x:c r="C4" s="46" t="str">
        <x:v>正确答案</x:v>
      </x:c>
      <x:c r="D4" s="46" t="str">
        <x:v>本题解析/知识点</x:v>
      </x:c>
      <x:c r="E4" s="46" t="str">
        <x:v>归属试卷</x:v>
      </x:c>
    </x:row>
    <x:row r="5" ht="45" customHeight="1">
      <x:c r="A5" s="54" t="str">
        <x:v>RK001</x:v>
      </x:c>
      <x:c r="B5" s="54" t="str">
        <x:v>需求工程与UML</x:v>
      </x:c>
      <x:c r="C5" s="72" t="str">
        <x:v>A</x:v>
      </x:c>
      <x:c r="D5" s="54" t="str">
        <x:v>缺少可度量的验收标准；应转换为任务成功率、操作步数等可测试要求。</x:v>
      </x:c>
      <x:c r="E5" s="54" t="str">
        <x:v>章节训练</x:v>
      </x:c>
    </x:row>
    <x:row r="6" ht="45" customHeight="1">
      <x:c r="A6" s="54" t="str">
        <x:v>RK002</x:v>
      </x:c>
      <x:c r="B6" s="54" t="str">
        <x:v>系统规划与企业信息化</x:v>
      </x:c>
      <x:c r="C6" s="72" t="str">
        <x:v>B</x:v>
      </x:c>
      <x:c r="D6" s="54" t="str">
        <x:v>NPV将未来现金流折现后减去初始投资，用于经济可行性评估。</x:v>
      </x:c>
      <x:c r="E6" s="54" t="str">
        <x:v>章节训练</x:v>
      </x:c>
    </x:row>
    <x:row r="7" ht="45" customHeight="1">
      <x:c r="A7" s="54" t="str">
        <x:v>RK003</x:v>
      </x:c>
      <x:c r="B7" s="54" t="str">
        <x:v>软件工程与开发方法</x:v>
      </x:c>
      <x:c r="C7" s="72" t="str">
        <x:v>B</x:v>
      </x:c>
      <x:c r="D7" s="54" t="str">
        <x:v>阶段式开发较适合需求清晰稳定且过程可控的场景。</x:v>
      </x:c>
      <x:c r="E7" s="54" t="str">
        <x:v>章节训练</x:v>
      </x:c>
    </x:row>
    <x:row r="8" ht="45" customHeight="1">
      <x:c r="A8" s="54" t="str">
        <x:v>RK004</x:v>
      </x:c>
      <x:c r="B8" s="54" t="str">
        <x:v>架构与设计模式</x:v>
      </x:c>
      <x:c r="C8" s="72" t="str">
        <x:v>B</x:v>
      </x:c>
      <x:c r="D8" s="54" t="str">
        <x:v>进程视图描述运行时并发及通信与同步相关结构。</x:v>
      </x:c>
      <x:c r="E8" s="54" t="str">
        <x:v>章节训练</x:v>
      </x:c>
    </x:row>
    <x:row r="9" ht="45" customHeight="1">
      <x:c r="A9" s="54" t="str">
        <x:v>RK005</x:v>
      </x:c>
      <x:c r="B9" s="54" t="str">
        <x:v>数据库与数据建模</x:v>
      </x:c>
      <x:c r="C9" s="72" t="str">
        <x:v>B</x:v>
      </x:c>
      <x:c r="D9" s="54" t="str">
        <x:v>候选键是最小超键，具有唯一性与最小性。</x:v>
      </x:c>
      <x:c r="E9" s="54" t="str">
        <x:v>章节训练</x:v>
      </x:c>
    </x:row>
    <x:row r="10" ht="45" customHeight="1">
      <x:c r="A10" s="54" t="str">
        <x:v>RK006</x:v>
      </x:c>
      <x:c r="B10" s="54" t="str">
        <x:v>软件测试与质量</x:v>
      </x:c>
      <x:c r="C10" s="72" t="str">
        <x:v>A</x:v>
      </x:c>
      <x:c r="D10" s="54" t="str">
        <x:v>静态测试不实际执行被测程序，可检查规范、代码和设计问题。</x:v>
      </x:c>
      <x:c r="E10" s="54" t="str">
        <x:v>章节训练</x:v>
      </x:c>
    </x:row>
    <x:row r="11" ht="45" customHeight="1">
      <x:c r="A11" s="54" t="str">
        <x:v>RK007</x:v>
      </x:c>
      <x:c r="B11" s="54" t="str">
        <x:v>网络分布式与高可用</x:v>
      </x:c>
      <x:c r="C11" s="72" t="str">
        <x:v>B</x:v>
      </x:c>
      <x:c r="D11" s="54" t="str">
        <x:v>TCP提供可靠有序字节流与流量/拥塞控制，UDP保留数据报边界。</x:v>
      </x:c>
      <x:c r="E11" s="54" t="str">
        <x:v>章节训练</x:v>
      </x:c>
    </x:row>
    <x:row r="12" ht="45" customHeight="1">
      <x:c r="A12" s="54" t="str">
        <x:v>RK008</x:v>
      </x:c>
      <x:c r="B12" s="54" t="str">
        <x:v>安全合规与标准</x:v>
      </x:c>
      <x:c r="C12" s="72" t="str">
        <x:v>A</x:v>
      </x:c>
      <x:c r="D12" s="54" t="str">
        <x:v>AES适于大数据量加密，非对称密码常用于密钥交换或数字签名。</x:v>
      </x:c>
      <x:c r="E12" s="54" t="str">
        <x:v>章节训练</x:v>
      </x:c>
    </x:row>
    <x:row r="13" ht="45" customHeight="1">
      <x:c r="A13" s="54" t="str">
        <x:v>RK009</x:v>
      </x:c>
      <x:c r="B13" s="54" t="str">
        <x:v>计算机系统与操作系统</x:v>
      </x:c>
      <x:c r="C13" s="72" t="str">
        <x:v>A</x:v>
      </x:c>
      <x:c r="D13" s="54" t="str">
        <x:v>缓存命中降低慢速存储访问需求，改善平均访存效率。</x:v>
      </x:c>
      <x:c r="E13" s="54" t="str">
        <x:v>章节训练</x:v>
      </x:c>
    </x:row>
    <x:row r="14" ht="45" customHeight="1">
      <x:c r="A14" s="54" t="str">
        <x:v>RK010</x:v>
      </x:c>
      <x:c r="B14" s="54" t="str">
        <x:v>工程数学与项目管理</x:v>
      </x:c>
      <x:c r="C14" s="72" t="str">
        <x:v>B</x:v>
      </x:c>
      <x:c r="D14" s="54" t="str">
        <x:v>PV=121÷(1.1)^2=100万元。</x:v>
      </x:c>
      <x:c r="E14" s="54" t="str">
        <x:v>章节训练</x:v>
      </x:c>
    </x:row>
    <x:row r="15" ht="45" customHeight="1">
      <x:c r="A15" s="54" t="str">
        <x:v>RK011</x:v>
      </x:c>
      <x:c r="B15" s="54" t="str">
        <x:v>云原生微服务与AI</x:v>
      </x:c>
      <x:c r="C15" s="72" t="str">
        <x:v>A</x:v>
      </x:c>
      <x:c r="D15" s="54" t="str">
        <x:v>容器进程隔离通常共享内核；虚拟机一般通过虚拟化运行客户机操作系统。</x:v>
      </x:c>
      <x:c r="E15" s="54" t="str">
        <x:v>章节训练</x:v>
      </x:c>
    </x:row>
    <x:row r="16" ht="45" customHeight="1">
      <x:c r="A16" s="54" t="str">
        <x:v>RK012</x:v>
      </x:c>
      <x:c r="B16" s="54" t="str">
        <x:v>系统实施运维与英语</x:v>
      </x:c>
      <x:c r="C16" s="72" t="str">
        <x:v>A</x:v>
      </x:c>
      <x:c r="D16" s="54" t="str">
        <x:v>SLA需明确指标定义、采集方式、观察期、例外和处置机制。</x:v>
      </x:c>
      <x:c r="E16" s="54" t="str">
        <x:v>章节训练</x:v>
      </x:c>
    </x:row>
    <x:row r="17" ht="45" customHeight="1">
      <x:c r="A17" s="54" t="str">
        <x:v>RK013</x:v>
      </x:c>
      <x:c r="B17" s="54" t="str">
        <x:v>需求工程与UML</x:v>
      </x:c>
      <x:c r="C17" s="72" t="str">
        <x:v>B</x:v>
      </x:c>
      <x:c r="D17" s="54" t="str">
        <x:v>联合需求研讨会能让各方共同澄清冲突、协商优先级与验收规则。</x:v>
      </x:c>
      <x:c r="E17" s="54" t="str">
        <x:v>章节训练</x:v>
      </x:c>
    </x:row>
    <x:row r="18" ht="45" customHeight="1">
      <x:c r="A18" s="54" t="str">
        <x:v>RK014</x:v>
      </x:c>
      <x:c r="B18" s="54" t="str">
        <x:v>系统规划与企业信息化</x:v>
      </x:c>
      <x:c r="C18" s="72" t="str">
        <x:v>C</x:v>
      </x:c>
      <x:c r="D18" s="54" t="str">
        <x:v>BPR不是简单的自动化，而是面向绩效跃升的流程重构。</x:v>
      </x:c>
      <x:c r="E18" s="54" t="str">
        <x:v>章节训练</x:v>
      </x:c>
    </x:row>
    <x:row r="19" ht="45" customHeight="1">
      <x:c r="A19" s="54" t="str">
        <x:v>RK015</x:v>
      </x:c>
      <x:c r="B19" s="54" t="str">
        <x:v>软件工程与开发方法</x:v>
      </x:c>
      <x:c r="C19" s="72" t="str">
        <x:v>C</x:v>
      </x:c>
      <x:c r="D19" s="54" t="str">
        <x:v>按增量发布，促进及早价值验证，但仍需总体设计和测试。</x:v>
      </x:c>
      <x:c r="E19" s="54" t="str">
        <x:v>章节训练</x:v>
      </x:c>
    </x:row>
    <x:row r="20" ht="45" customHeight="1">
      <x:c r="A20" s="54" t="str">
        <x:v>RK016</x:v>
      </x:c>
      <x:c r="B20" s="54" t="str">
        <x:v>架构与设计模式</x:v>
      </x:c>
      <x:c r="C20" s="72" t="str">
        <x:v>C</x:v>
      </x:c>
      <x:c r="D20" s="54" t="str">
        <x:v>部署图表达节点、通信路径与制品分配。</x:v>
      </x:c>
      <x:c r="E20" s="54" t="str">
        <x:v>章节训练</x:v>
      </x:c>
    </x:row>
    <x:row r="21" ht="45" customHeight="1">
      <x:c r="A21" s="54" t="str">
        <x:v>RK017</x:v>
      </x:c>
      <x:c r="B21" s="54" t="str">
        <x:v>数据库与数据建模</x:v>
      </x:c>
      <x:c r="C21" s="72" t="str">
        <x:v>C</x:v>
      </x:c>
      <x:c r="D21" s="54" t="str">
        <x:v>1NF强调每个属性为原子值，具体原子性与设计语境有关。</x:v>
      </x:c>
      <x:c r="E21" s="54" t="str">
        <x:v>章节训练</x:v>
      </x:c>
    </x:row>
    <x:row r="22" ht="45" customHeight="1">
      <x:c r="A22" s="54" t="str">
        <x:v>RK018</x:v>
      </x:c>
      <x:c r="B22" s="54" t="str">
        <x:v>软件测试与质量</x:v>
      </x:c>
      <x:c r="C22" s="72" t="str">
        <x:v>B</x:v>
      </x:c>
      <x:c r="D22" s="54" t="str">
        <x:v>语句覆盖不能保证全部分支、条件和路径被覆盖。</x:v>
      </x:c>
      <x:c r="E22" s="54" t="str">
        <x:v>章节训练</x:v>
      </x:c>
    </x:row>
    <x:row r="23" ht="45" customHeight="1">
      <x:c r="A23" s="54" t="str">
        <x:v>RK019</x:v>
      </x:c>
      <x:c r="B23" s="54" t="str">
        <x:v>网络分布式与高可用</x:v>
      </x:c>
      <x:c r="C23" s="72" t="str">
        <x:v>C</x:v>
      </x:c>
      <x:c r="D23" s="54" t="str">
        <x:v>TLS保护传输通道，但业务仍需身份授权及输入校验。</x:v>
      </x:c>
      <x:c r="E23" s="54" t="str">
        <x:v>章节训练</x:v>
      </x:c>
    </x:row>
    <x:row r="24" ht="45" customHeight="1">
      <x:c r="A24" s="54" t="str">
        <x:v>RK020</x:v>
      </x:c>
      <x:c r="B24" s="54" t="str">
        <x:v>安全合规与标准</x:v>
      </x:c>
      <x:c r="C24" s="72" t="str">
        <x:v>B</x:v>
      </x:c>
      <x:c r="D24" s="54" t="str">
        <x:v>哈希可用于完整性校验，保密需求需加密；安全哈希也不代表数学上无碰撞。</x:v>
      </x:c>
      <x:c r="E24" s="54" t="str">
        <x:v>章节训练</x:v>
      </x:c>
    </x:row>
    <x:row r="25" ht="45" customHeight="1">
      <x:c r="A25" s="54" t="str">
        <x:v>RK021</x:v>
      </x:c>
      <x:c r="B25" s="54" t="str">
        <x:v>计算机系统与操作系统</x:v>
      </x:c>
      <x:c r="C25" s="72" t="str">
        <x:v>B</x:v>
      </x:c>
      <x:c r="D25" s="54" t="str">
        <x:v>页表参与地址翻译，配合TLB加速映射。</x:v>
      </x:c>
      <x:c r="E25" s="54" t="str">
        <x:v>章节训练</x:v>
      </x:c>
    </x:row>
    <x:row r="26" ht="45" customHeight="1">
      <x:c r="A26" s="54" t="str">
        <x:v>RK022</x:v>
      </x:c>
      <x:c r="B26" s="54" t="str">
        <x:v>工程数学与项目管理</x:v>
      </x:c>
      <x:c r="C26" s="72" t="str">
        <x:v>C</x:v>
      </x:c>
      <x:c r="D26" s="54" t="str">
        <x:v>期望损失相加=4+5+3=12万元。</x:v>
      </x:c>
      <x:c r="E26" s="54" t="str">
        <x:v>章节训练</x:v>
      </x:c>
    </x:row>
    <x:row r="27" ht="45" customHeight="1">
      <x:c r="A27" s="54" t="str">
        <x:v>RK023</x:v>
      </x:c>
      <x:c r="B27" s="54" t="str">
        <x:v>云原生微服务与AI</x:v>
      </x:c>
      <x:c r="C27" s="72" t="str">
        <x:v>B</x:v>
      </x:c>
      <x:c r="D27" s="54" t="str">
        <x:v>Deployment通过控制器管理ReplicaSet和Pod期望状态。</x:v>
      </x:c>
      <x:c r="E27" s="54" t="str">
        <x:v>章节训练</x:v>
      </x:c>
    </x:row>
    <x:row r="28" ht="45" customHeight="1">
      <x:c r="A28" s="54" t="str">
        <x:v>RK024</x:v>
      </x:c>
      <x:c r="B28" s="54" t="str">
        <x:v>系统实施运维与英语</x:v>
      </x:c>
      <x:c r="C28" s="72" t="str">
        <x:v>B</x:v>
      </x:c>
      <x:c r="D28" s="54" t="str">
        <x:v>上线准备要覆盖故障回退、可观测性与数据安全。</x:v>
      </x:c>
      <x:c r="E28" s="54" t="str">
        <x:v>章节训练</x:v>
      </x:c>
    </x:row>
    <x:row r="29" ht="45" customHeight="1">
      <x:c r="A29" s="54" t="str">
        <x:v>RK025</x:v>
      </x:c>
      <x:c r="B29" s="54" t="str">
        <x:v>需求工程与UML</x:v>
      </x:c>
      <x:c r="C29" s="72" t="str">
        <x:v>C</x:v>
      </x:c>
      <x:c r="D29" s="54" t="str">
        <x:v>这是可度量的响应时间质量属性，属于非功能需求。</x:v>
      </x:c>
      <x:c r="E29" s="54" t="str">
        <x:v>章节训练</x:v>
      </x:c>
    </x:row>
    <x:row r="30" ht="45" customHeight="1">
      <x:c r="A30" s="54" t="str">
        <x:v>RK026</x:v>
      </x:c>
      <x:c r="B30" s="54" t="str">
        <x:v>系统规划与企业信息化</x:v>
      </x:c>
      <x:c r="C30" s="72" t="str">
        <x:v>D</x:v>
      </x:c>
      <x:c r="D30" s="54" t="str">
        <x:v>战略和业务价值决定信息系统建设的优先级与约束条件。</x:v>
      </x:c>
      <x:c r="E30" s="54" t="str">
        <x:v>章节训练</x:v>
      </x:c>
    </x:row>
    <x:row r="31" ht="45" customHeight="1">
      <x:c r="A31" s="54" t="str">
        <x:v>RK027</x:v>
      </x:c>
      <x:c r="B31" s="54" t="str">
        <x:v>软件工程与开发方法</x:v>
      </x:c>
      <x:c r="C31" s="72" t="str">
        <x:v>D</x:v>
      </x:c>
      <x:c r="D31" s="54" t="str">
        <x:v>敏捷重视反馈与适应性，但不意味着不做计划和文档。</x:v>
      </x:c>
      <x:c r="E31" s="54" t="str">
        <x:v>章节训练</x:v>
      </x:c>
    </x:row>
    <x:row r="32" ht="45" customHeight="1">
      <x:c r="A32" s="54" t="str">
        <x:v>RK028</x:v>
      </x:c>
      <x:c r="B32" s="54" t="str">
        <x:v>架构与设计模式</x:v>
      </x:c>
      <x:c r="C32" s="72" t="str">
        <x:v>D</x:v>
      </x:c>
      <x:c r="D32" s="54" t="str">
        <x:v>事件驱动通过发布订阅减少直接调用耦合。</x:v>
      </x:c>
      <x:c r="E32" s="54" t="str">
        <x:v>章节训练</x:v>
      </x:c>
    </x:row>
    <x:row r="33" ht="45" customHeight="1">
      <x:c r="A33" s="54" t="str">
        <x:v>RK029</x:v>
      </x:c>
      <x:c r="B33" s="54" t="str">
        <x:v>数据库与数据建模</x:v>
      </x:c>
      <x:c r="C33" s="72" t="str">
        <x:v>D</x:v>
      </x:c>
      <x:c r="D33" s="54" t="str">
        <x:v>非主属性C部分依赖于复合候选键的一部分A，违反2NF。</x:v>
      </x:c>
      <x:c r="E33" s="54" t="str">
        <x:v>章节训练</x:v>
      </x:c>
    </x:row>
    <x:row r="34" ht="45" customHeight="1">
      <x:c r="A34" s="54" t="str">
        <x:v>RK030</x:v>
      </x:c>
      <x:c r="B34" s="54" t="str">
        <x:v>软件测试与质量</x:v>
      </x:c>
      <x:c r="C34" s="72" t="str">
        <x:v>C</x:v>
      </x:c>
      <x:c r="D34" s="54" t="str">
        <x:v>判定覆盖要求每个分支结果都覆盖，不等同于条件组合覆盖。</x:v>
      </x:c>
      <x:c r="E34" s="54" t="str">
        <x:v>章节训练</x:v>
      </x:c>
    </x:row>
    <x:row r="35" ht="45" customHeight="1">
      <x:c r="A35" s="54" t="str">
        <x:v>RK031</x:v>
      </x:c>
      <x:c r="B35" s="54" t="str">
        <x:v>网络分布式与高可用</x:v>
      </x:c>
      <x:c r="C35" s="72" t="str">
        <x:v>D</x:v>
      </x:c>
      <x:c r="D35" s="54" t="str">
        <x:v>DNS解析域名相关资源记录，并不直接代替应用负载治理。</x:v>
      </x:c>
      <x:c r="E35" s="54" t="str">
        <x:v>章节训练</x:v>
      </x:c>
    </x:row>
    <x:row r="36" ht="45" customHeight="1">
      <x:c r="A36" s="54" t="str">
        <x:v>RK032</x:v>
      </x:c>
      <x:c r="B36" s="54" t="str">
        <x:v>安全合规与标准</x:v>
      </x:c>
      <x:c r="C36" s="72" t="str">
        <x:v>C</x:v>
      </x:c>
      <x:c r="D36" s="54" t="str">
        <x:v>数字签名通过私钥签名、公钥验证，传输加密需额外机制。</x:v>
      </x:c>
      <x:c r="E36" s="54" t="str">
        <x:v>章节训练</x:v>
      </x:c>
    </x:row>
    <x:row r="37" ht="45" customHeight="1">
      <x:c r="A37" s="54" t="str">
        <x:v>RK033</x:v>
      </x:c>
      <x:c r="B37" s="54" t="str">
        <x:v>计算机系统与操作系统</x:v>
      </x:c>
      <x:c r="C37" s="72" t="str">
        <x:v>C</x:v>
      </x:c>
      <x:c r="D37" s="54" t="str">
        <x:v>缺页可能由按需调页产生，也可能是非法访问等异常。</x:v>
      </x:c>
      <x:c r="E37" s="54" t="str">
        <x:v>章节训练</x:v>
      </x:c>
    </x:row>
    <x:row r="38" ht="45" customHeight="1">
      <x:c r="A38" s="54" t="str">
        <x:v>RK034</x:v>
      </x:c>
      <x:c r="B38" s="54" t="str">
        <x:v>工程数学与项目管理</x:v>
      </x:c>
      <x:c r="C38" s="72" t="str">
        <x:v>B</x:v>
      </x:c>
      <x:c r="D38" s="54" t="str">
        <x:v>并行段取最大5天，再接C 2天，总7天。</x:v>
      </x:c>
      <x:c r="E38" s="54" t="str">
        <x:v>章节训练</x:v>
      </x:c>
    </x:row>
    <x:row r="39" ht="45" customHeight="1">
      <x:c r="A39" s="54" t="str">
        <x:v>RK035</x:v>
      </x:c>
      <x:c r="B39" s="54" t="str">
        <x:v>云原生微服务与AI</x:v>
      </x:c>
      <x:c r="C39" s="72" t="str">
        <x:v>C</x:v>
      </x:c>
      <x:c r="D39" s="54" t="str">
        <x:v>就绪探针控制是否作为Service后端，区别于存活探针。</x:v>
      </x:c>
      <x:c r="E39" s="54" t="str">
        <x:v>章节训练</x:v>
      </x:c>
    </x:row>
    <x:row r="40" ht="45" customHeight="1">
      <x:c r="A40" s="54" t="str">
        <x:v>RK036</x:v>
      </x:c>
      <x:c r="B40" s="54" t="str">
        <x:v>系统实施运维与英语</x:v>
      </x:c>
      <x:c r="C40" s="72" t="str">
        <x:v>C</x:v>
      </x:c>
      <x:c r="D40" s="54" t="str">
        <x:v>MTTR一般指平均修复或恢复时间，具体定义应在组织中统一。</x:v>
      </x:c>
      <x:c r="E40" s="54" t="str">
        <x:v>章节训练</x:v>
      </x:c>
    </x:row>
    <x:row r="41" ht="45" customHeight="1">
      <x:c r="A41" s="54" t="str">
        <x:v>RK037</x:v>
      </x:c>
      <x:c r="B41" s="54" t="str">
        <x:v>需求工程与UML</x:v>
      </x:c>
      <x:c r="C41" s="72" t="str">
        <x:v>D</x:v>
      </x:c>
      <x:c r="D41" s="54" t="str">
        <x:v>extend代表可选或条件触发的扩展，include代表必需复用的公共行为。</x:v>
      </x:c>
      <x:c r="E41" s="54" t="str">
        <x:v>章节训练</x:v>
      </x:c>
    </x:row>
    <x:row r="42" ht="45" customHeight="1">
      <x:c r="A42" s="54" t="str">
        <x:v>RK038</x:v>
      </x:c>
      <x:c r="B42" s="54" t="str">
        <x:v>系统规划与企业信息化</x:v>
      </x:c>
      <x:c r="C42" s="72" t="str">
        <x:v>A</x:v>
      </x:c>
      <x:c r="D42" s="54" t="str">
        <x:v>SWOT对应优势、劣势、机会、威胁。</x:v>
      </x:c>
      <x:c r="E42" s="54" t="str">
        <x:v>章节训练</x:v>
      </x:c>
    </x:row>
    <x:row r="43" ht="45" customHeight="1">
      <x:c r="A43" s="54" t="str">
        <x:v>RK039</x:v>
      </x:c>
      <x:c r="B43" s="54" t="str">
        <x:v>软件工程与开发方法</x:v>
      </x:c>
      <x:c r="C43" s="72" t="str">
        <x:v>A</x:v>
      </x:c>
      <x:c r="D43" s="54" t="str">
        <x:v>PO对产品价值和待办项排序负责。</x:v>
      </x:c>
      <x:c r="E43" s="54" t="str">
        <x:v>章节训练</x:v>
      </x:c>
    </x:row>
    <x:row r="44" ht="45" customHeight="1">
      <x:c r="A44" s="54" t="str">
        <x:v>RK040</x:v>
      </x:c>
      <x:c r="B44" s="54" t="str">
        <x:v>架构与设计模式</x:v>
      </x:c>
      <x:c r="C44" s="72" t="str">
        <x:v>A</x:v>
      </x:c>
      <x:c r="D44" s="54" t="str">
        <x:v>跨层访问破坏职责边界并使变更影响难控制。</x:v>
      </x:c>
      <x:c r="E44" s="54" t="str">
        <x:v>章节训练</x:v>
      </x:c>
    </x:row>
    <x:row r="45" ht="45" customHeight="1">
      <x:c r="A45" s="54" t="str">
        <x:v>RK041</x:v>
      </x:c>
      <x:c r="B45" s="54" t="str">
        <x:v>数据库与数据建模</x:v>
      </x:c>
      <x:c r="C45" s="72" t="str">
        <x:v>A</x:v>
      </x:c>
      <x:c r="D45" s="54" t="str">
        <x:v>非主属性经非键属性传递依赖于键，违反3NF。</x:v>
      </x:c>
      <x:c r="E45" s="54" t="str">
        <x:v>章节训练</x:v>
      </x:c>
    </x:row>
    <x:row r="46" ht="45" customHeight="1">
      <x:c r="A46" s="54" t="str">
        <x:v>RK042</x:v>
      </x:c>
      <x:c r="B46" s="54" t="str">
        <x:v>软件测试与质量</x:v>
      </x:c>
      <x:c r="C46" s="72" t="str">
        <x:v>D</x:v>
      </x:c>
      <x:c r="D46" s="54" t="str">
        <x:v>边界值法选边界及其紧邻值，常更易发现比较运算缺陷。</x:v>
      </x:c>
      <x:c r="E46" s="54" t="str">
        <x:v>章节训练</x:v>
      </x:c>
    </x:row>
    <x:row r="47" ht="45" customHeight="1">
      <x:c r="A47" s="54" t="str">
        <x:v>RK043</x:v>
      </x:c>
      <x:c r="B47" s="54" t="str">
        <x:v>网络分布式与高可用</x:v>
      </x:c>
      <x:c r="C47" s="72" t="str">
        <x:v>A</x:v>
      </x:c>
      <x:c r="D47" s="54" t="str">
        <x:v>熔断在失败率等达阈值后减少无效调用，配合恢复探测。</x:v>
      </x:c>
      <x:c r="E47" s="54" t="str">
        <x:v>章节训练</x:v>
      </x:c>
    </x:row>
    <x:row r="48" ht="45" customHeight="1">
      <x:c r="A48" s="54" t="str">
        <x:v>RK044</x:v>
      </x:c>
      <x:c r="B48" s="54" t="str">
        <x:v>安全合规与标准</x:v>
      </x:c>
      <x:c r="C48" s="72" t="str">
        <x:v>D</x:v>
      </x:c>
      <x:c r="D48" s="54" t="str">
        <x:v>基于角色的访问控制将用户与权限经角色关联。</x:v>
      </x:c>
      <x:c r="E48" s="54" t="str">
        <x:v>章节训练</x:v>
      </x:c>
    </x:row>
    <x:row r="49" ht="45" customHeight="1">
      <x:c r="A49" s="54" t="str">
        <x:v>RK045</x:v>
      </x:c>
      <x:c r="B49" s="54" t="str">
        <x:v>计算机系统与操作系统</x:v>
      </x:c>
      <x:c r="C49" s="72" t="str">
        <x:v>D</x:v>
      </x:c>
      <x:c r="D49" s="54" t="str">
        <x:v>死锁四必要条件：互斥、请求保持、不可剥夺、循环等待。</x:v>
      </x:c>
      <x:c r="E49" s="54" t="str">
        <x:v>章节训练</x:v>
      </x:c>
    </x:row>
    <x:row r="50" ht="45" customHeight="1">
      <x:c r="A50" s="54" t="str">
        <x:v>RK046</x:v>
      </x:c>
      <x:c r="B50" s="54" t="str">
        <x:v>工程数学与项目管理</x:v>
      </x:c>
      <x:c r="C50" s="72" t="str">
        <x:v>D</x:v>
      </x:c>
      <x:c r="D50" s="54" t="str">
        <x:v>CV=EV-AC=80-100=-20，成本超支。</x:v>
      </x:c>
      <x:c r="E50" s="54" t="str">
        <x:v>章节训练</x:v>
      </x:c>
    </x:row>
    <x:row r="51" ht="45" customHeight="1">
      <x:c r="A51" s="54" t="str">
        <x:v>RK047</x:v>
      </x:c>
      <x:c r="B51" s="54" t="str">
        <x:v>云原生微服务与AI</x:v>
      </x:c>
      <x:c r="C51" s="72" t="str">
        <x:v>D</x:v>
      </x:c>
      <x:c r="D51" s="54" t="str">
        <x:v>灰度按人群或比例逐步扩大发布范围，降低全量发布风险。</x:v>
      </x:c>
      <x:c r="E51" s="54" t="str">
        <x:v>章节训练</x:v>
      </x:c>
    </x:row>
    <x:row r="52" ht="45" customHeight="1">
      <x:c r="A52" s="54" t="str">
        <x:v>RK048</x:v>
      </x:c>
      <x:c r="B52" s="54" t="str">
        <x:v>需求工程与UML</x:v>
      </x:c>
      <x:c r="C52" s="72" t="str">
        <x:v>A</x:v>
      </x:c>
      <x:c r="D52" s="54" t="str">
        <x:v>多个用例必经的公用功能可用include提取以避免重复。</x:v>
      </x:c>
      <x:c r="E52" s="54" t="str">
        <x:v>章节训练</x:v>
      </x:c>
    </x:row>
    <x:row r="53" ht="45" customHeight="1">
      <x:c r="A53" s="54" t="str">
        <x:v>RK049</x:v>
      </x:c>
      <x:c r="B53" s="54" t="str">
        <x:v>系统规划与企业信息化</x:v>
      </x:c>
      <x:c r="C53" s="72" t="str">
        <x:v>B</x:v>
      </x:c>
      <x:c r="D53" s="54" t="str">
        <x:v>区分基本活动和支持活动，发现降本、差异化机会。</x:v>
      </x:c>
      <x:c r="E53" s="54" t="str">
        <x:v>章节训练</x:v>
      </x:c>
    </x:row>
    <x:row r="54" ht="45" customHeight="1">
      <x:c r="A54" s="54" t="str">
        <x:v>RK050</x:v>
      </x:c>
      <x:c r="B54" s="54" t="str">
        <x:v>软件工程与开发方法</x:v>
      </x:c>
      <x:c r="C54" s="72" t="str">
        <x:v>B</x:v>
      </x:c>
      <x:c r="D54" s="54" t="str">
        <x:v>技术债务会增加变更成本和故障风险，应持续偿还。</x:v>
      </x:c>
      <x:c r="E54" s="54" t="str">
        <x:v>章节训练</x:v>
      </x:c>
    </x:row>
    <x:row r="55" ht="45" customHeight="1">
      <x:c r="A55" s="54" t="str">
        <x:v>RK051</x:v>
      </x:c>
      <x:c r="B55" s="54" t="str">
        <x:v>架构与设计模式</x:v>
      </x:c>
      <x:c r="C55" s="72" t="str">
        <x:v>B</x:v>
      </x:c>
      <x:c r="D55" s="54" t="str">
        <x:v>适配器将现有接口转换成客户端期望接口。</x:v>
      </x:c>
      <x:c r="E55" s="54" t="str">
        <x:v>章节训练</x:v>
      </x:c>
    </x:row>
    <x:row r="56" ht="45" customHeight="1">
      <x:c r="A56" s="54" t="str">
        <x:v>RK052</x:v>
      </x:c>
      <x:c r="B56" s="54" t="str">
        <x:v>数据库与数据建模</x:v>
      </x:c>
      <x:c r="C56" s="72" t="str">
        <x:v>B</x:v>
      </x:c>
      <x:c r="D56" s="54" t="str">
        <x:v>BCNF要求每个非平凡函数依赖的决定因素为超键。</x:v>
      </x:c>
      <x:c r="E56" s="54" t="str">
        <x:v>章节训练</x:v>
      </x:c>
    </x:row>
    <x:row r="57" ht="45" customHeight="1">
      <x:c r="A57" s="54" t="str">
        <x:v>RK053</x:v>
      </x:c>
      <x:c r="B57" s="54" t="str">
        <x:v>软件测试与质量</x:v>
      </x:c>
      <x:c r="C57" s="72" t="str">
        <x:v>A</x:v>
      </x:c>
      <x:c r="D57" s="54" t="str">
        <x:v>判定表用于多条件组合与动作映射。</x:v>
      </x:c>
      <x:c r="E57" s="54" t="str">
        <x:v>章节训练</x:v>
      </x:c>
    </x:row>
    <x:row r="58" ht="45" customHeight="1">
      <x:c r="A58" s="54" t="str">
        <x:v>RK054</x:v>
      </x:c>
      <x:c r="B58" s="54" t="str">
        <x:v>网络分布式与高可用</x:v>
      </x:c>
      <x:c r="C58" s="72" t="str">
        <x:v>B</x:v>
      </x:c>
      <x:c r="D58" s="54" t="str">
        <x:v>幂等关键是重复调用副作用受控，如支付使用业务唯一键去重。</x:v>
      </x:c>
      <x:c r="E58" s="54" t="str">
        <x:v>章节训练</x:v>
      </x:c>
    </x:row>
    <x:row r="59" ht="45" customHeight="1">
      <x:c r="A59" s="54" t="str">
        <x:v>RK055</x:v>
      </x:c>
      <x:c r="B59" s="54" t="str">
        <x:v>安全合规与标准</x:v>
      </x:c>
      <x:c r="C59" s="72" t="str">
        <x:v>A</x:v>
      </x:c>
      <x:c r="D59" s="54" t="str">
        <x:v>属性访问控制适于多维上下文的授权策略。</x:v>
      </x:c>
      <x:c r="E59" s="54" t="str">
        <x:v>章节训练</x:v>
      </x:c>
    </x:row>
    <x:row r="60" ht="45" customHeight="1">
      <x:c r="A60" s="54" t="str">
        <x:v>RK056</x:v>
      </x:c>
      <x:c r="B60" s="54" t="str">
        <x:v>计算机系统与操作系统</x:v>
      </x:c>
      <x:c r="C60" s="72" t="str">
        <x:v>A</x:v>
      </x:c>
      <x:c r="D60" s="54" t="str">
        <x:v>同进程线程共享地址空间等资源，但各自有栈及寄存器执行状态。</x:v>
      </x:c>
      <x:c r="E60" s="54" t="str">
        <x:v>章节训练</x:v>
      </x:c>
    </x:row>
    <x:row r="61" ht="45" customHeight="1">
      <x:c r="A61" s="54" t="str">
        <x:v>RK057</x:v>
      </x:c>
      <x:c r="B61" s="54" t="str">
        <x:v>工程数学与项目管理</x:v>
      </x:c>
      <x:c r="C61" s="72" t="str">
        <x:v>A</x:v>
      </x:c>
      <x:c r="D61" s="54" t="str">
        <x:v>SPI=EV/PV=80/90≈0.889，小于1表示落后于计划。</x:v>
      </x:c>
      <x:c r="E61" s="54" t="str">
        <x:v>章节训练</x:v>
      </x:c>
    </x:row>
    <x:row r="62" ht="45" customHeight="1">
      <x:c r="A62" s="54" t="str">
        <x:v>RK058</x:v>
      </x:c>
      <x:c r="B62" s="54" t="str">
        <x:v>云原生微服务与AI</x:v>
      </x:c>
      <x:c r="C62" s="72" t="str">
        <x:v>A</x:v>
      </x:c>
      <x:c r="D62" s="54" t="str">
        <x:v>IaC以声明或脚本管理基础设施，支持审计和一致性。</x:v>
      </x:c>
      <x:c r="E62" s="54" t="str">
        <x:v>章节训练</x:v>
      </x:c>
    </x:row>
    <x:row r="63" ht="45" customHeight="1">
      <x:c r="A63" s="54" t="str">
        <x:v>RK059</x:v>
      </x:c>
      <x:c r="B63" s="54" t="str">
        <x:v>需求工程与UML</x:v>
      </x:c>
      <x:c r="C63" s="72" t="str">
        <x:v>A</x:v>
      </x:c>
      <x:c r="D63" s="54" t="str">
        <x:v>顺序图以生命线和消息序列体现交互的时间顺序。</x:v>
      </x:c>
      <x:c r="E63" s="54" t="str">
        <x:v>章节训练</x:v>
      </x:c>
    </x:row>
    <x:row r="64" ht="45" customHeight="1">
      <x:c r="A64" s="54" t="str">
        <x:v>RK060</x:v>
      </x:c>
      <x:c r="B64" s="54" t="str">
        <x:v>系统规划与企业信息化</x:v>
      </x:c>
      <x:c r="C64" s="72" t="str">
        <x:v>C</x:v>
      </x:c>
      <x:c r="D64" s="54" t="str">
        <x:v>业务架构关注组织如何创造价值，不等同于应用/数据/技术架构。</x:v>
      </x:c>
      <x:c r="E64" s="54" t="str">
        <x:v>章节训练</x:v>
      </x:c>
    </x:row>
    <x:row r="65" ht="45" customHeight="1">
      <x:c r="A65" s="54" t="str">
        <x:v>RK061</x:v>
      </x:c>
      <x:c r="B65" s="54" t="str">
        <x:v>软件工程与开发方法</x:v>
      </x:c>
      <x:c r="C65" s="72" t="str">
        <x:v>C</x:v>
      </x:c>
      <x:c r="D65" s="54" t="str">
        <x:v>职责集中、依赖清晰使测试、替换和独立演进更容易。</x:v>
      </x:c>
      <x:c r="E65" s="54" t="str">
        <x:v>章节训练</x:v>
      </x:c>
    </x:row>
    <x:row r="66" ht="45" customHeight="1">
      <x:c r="A66" s="54" t="str">
        <x:v>RK062</x:v>
      </x:c>
      <x:c r="B66" s="54" t="str">
        <x:v>架构与设计模式</x:v>
      </x:c>
      <x:c r="C66" s="72" t="str">
        <x:v>C</x:v>
      </x:c>
      <x:c r="D66" s="54" t="str">
        <x:v>观察者用于一对多依赖的事件通知。</x:v>
      </x:c>
      <x:c r="E66" s="54" t="str">
        <x:v>章节训练</x:v>
      </x:c>
    </x:row>
    <x:row r="67" ht="45" customHeight="1">
      <x:c r="A67" s="54" t="str">
        <x:v>RK063</x:v>
      </x:c>
      <x:c r="B67" s="54" t="str">
        <x:v>数据库与数据建模</x:v>
      </x:c>
      <x:c r="C67" s="72" t="str">
        <x:v>C</x:v>
      </x:c>
      <x:c r="D67" s="54" t="str">
        <x:v>隔离性与并发读写异常及隔离级别有关。</x:v>
      </x:c>
      <x:c r="E67" s="54" t="str">
        <x:v>章节训练</x:v>
      </x:c>
    </x:row>
    <x:row r="68" ht="45" customHeight="1">
      <x:c r="A68" s="54" t="str">
        <x:v>RK064</x:v>
      </x:c>
      <x:c r="B68" s="54" t="str">
        <x:v>软件测试与质量</x:v>
      </x:c>
      <x:c r="C68" s="72" t="str">
        <x:v>B</x:v>
      </x:c>
      <x:c r="D68" s="54" t="str">
        <x:v>回归测试针对变更可能影响的既有行为。</x:v>
      </x:c>
      <x:c r="E68" s="54" t="str">
        <x:v>章节训练</x:v>
      </x:c>
    </x:row>
    <x:row r="69" ht="45" customHeight="1">
      <x:c r="A69" s="54" t="str">
        <x:v>RK065</x:v>
      </x:c>
      <x:c r="B69" s="54" t="str">
        <x:v>网络分布式与高可用</x:v>
      </x:c>
      <x:c r="C69" s="72" t="str">
        <x:v>C</x:v>
      </x:c>
      <x:c r="D69" s="54" t="str">
        <x:v>至少一次可能重投，消费者需去重、事务和幂等策略。</x:v>
      </x:c>
      <x:c r="E69" s="54" t="str">
        <x:v>章节训练</x:v>
      </x:c>
    </x:row>
    <x:row r="70" ht="45" customHeight="1">
      <x:c r="A70" s="54" t="str">
        <x:v>RK066</x:v>
      </x:c>
      <x:c r="B70" s="54" t="str">
        <x:v>安全合规与标准</x:v>
      </x:c>
      <x:c r="C70" s="72" t="str">
        <x:v>B</x:v>
      </x:c>
      <x:c r="D70" s="54" t="str">
        <x:v>最小权限限制攻击面，应配合权限回收与定期复核。</x:v>
      </x:c>
      <x:c r="E70" s="54" t="str">
        <x:v>章节训练</x:v>
      </x:c>
    </x:row>
    <x:row r="71" ht="45" customHeight="1">
      <x:c r="A71" s="54" t="str">
        <x:v>RK067</x:v>
      </x:c>
      <x:c r="B71" s="54" t="str">
        <x:v>云原生微服务与AI</x:v>
      </x:c>
      <x:c r="C71" s="72" t="str">
        <x:v>B</x:v>
      </x:c>
      <x:c r="D71" s="54" t="str">
        <x:v>RAG利用可更新知识源提升回答依据，但仍需评估检索与生成质量。</x:v>
      </x:c>
      <x:c r="E71" s="54" t="str">
        <x:v>章节训练</x:v>
      </x:c>
    </x:row>
    <x:row r="72" ht="45" customHeight="1">
      <x:c r="A72" s="54" t="str">
        <x:v>RK068</x:v>
      </x:c>
      <x:c r="B72" s="54" t="str">
        <x:v>需求工程与UML</x:v>
      </x:c>
      <x:c r="C72" s="72" t="str">
        <x:v>B</x:v>
      </x:c>
      <x:c r="D72" s="54" t="str">
        <x:v>状态图表现事件触发的状态迁移及守卫条件。</x:v>
      </x:c>
      <x:c r="E72" s="54" t="str">
        <x:v>章节训练</x:v>
      </x:c>
    </x:row>
    <x:row r="73" ht="45" customHeight="1">
      <x:c r="A73" s="54" t="str">
        <x:v>RK069</x:v>
      </x:c>
      <x:c r="B73" s="54" t="str">
        <x:v>架构与设计模式</x:v>
      </x:c>
      <x:c r="C73" s="72" t="str">
        <x:v>D</x:v>
      </x:c>
      <x:c r="D73" s="54" t="str">
        <x:v>策略将算法族封装成可替换实现，符合开闭原则。</x:v>
      </x:c>
      <x:c r="E73" s="54" t="str">
        <x:v>章节训练</x:v>
      </x:c>
    </x:row>
    <x:row r="74" ht="45" customHeight="1">
      <x:c r="A74" s="54" t="str">
        <x:v>RK070</x:v>
      </x:c>
      <x:c r="B74" s="54" t="str">
        <x:v>数据库与数据建模</x:v>
      </x:c>
      <x:c r="C74" s="72" t="str">
        <x:v>D</x:v>
      </x:c>
      <x:c r="D74" s="54" t="str">
        <x:v>持久性指已提交事务的结果在规定故障条件下可恢复保留。</x:v>
      </x:c>
      <x:c r="E74" s="54" t="str">
        <x:v>章节训练</x:v>
      </x:c>
    </x:row>
    <x:row r="75" ht="45" customHeight="1">
      <x:c r="A75" s="54" t="str">
        <x:v>RK071</x:v>
      </x:c>
      <x:c r="B75" s="54" t="str">
        <x:v>软件测试与质量</x:v>
      </x:c>
      <x:c r="C75" s="72" t="str">
        <x:v>C</x:v>
      </x:c>
      <x:c r="D75" s="54" t="str">
        <x:v>P95是第95百分位时延，不是平均值也不是最大值。</x:v>
      </x:c>
      <x:c r="E75" s="54" t="str">
        <x:v>章节训练</x:v>
      </x:c>
    </x:row>
    <x:row r="76" ht="45" customHeight="1">
      <x:c r="A76" s="54" t="str">
        <x:v>RK072</x:v>
      </x:c>
      <x:c r="B76" s="54" t="str">
        <x:v>网络分布式与高可用</x:v>
      </x:c>
      <x:c r="C76" s="72" t="str">
        <x:v>D</x:v>
      </x:c>
      <x:c r="D76" s="54" t="str">
        <x:v>在分区容忍的前提下，强一致与持续可用难以同时保证。</x:v>
      </x:c>
      <x:c r="E76" s="54" t="str">
        <x:v>章节训练</x:v>
      </x:c>
    </x:row>
    <x:row r="77" ht="45" customHeight="1">
      <x:c r="A77" s="54" t="str">
        <x:v>RK073</x:v>
      </x:c>
      <x:c r="B77" s="54" t="str">
        <x:v>需求工程与UML</x:v>
      </x:c>
      <x:c r="C77" s="72" t="str">
        <x:v>C</x:v>
      </x:c>
      <x:c r="D77" s="54" t="str">
        <x:v>活动图中决策与合并节点常用菱形，分支条件须互斥且尽量覆盖。</x:v>
      </x:c>
      <x:c r="E77" s="54" t="str">
        <x:v>章节训练</x:v>
      </x:c>
    </x:row>
    <x:row r="78" ht="45" customHeight="1">
      <x:c r="A78" s="54" t="str">
        <x:v>RK074</x:v>
      </x:c>
      <x:c r="B78" s="54" t="str">
        <x:v>架构与设计模式</x:v>
      </x:c>
      <x:c r="C78" s="72" t="str">
        <x:v>A</x:v>
      </x:c>
      <x:c r="D78" s="54" t="str">
        <x:v>备忘录用于捕获、保存、恢复状态而不破坏封装。</x:v>
      </x:c>
      <x:c r="E78" s="54" t="str">
        <x:v>章节训练</x:v>
      </x:c>
    </x:row>
    <x:row r="79" ht="45" customHeight="1">
      <x:c r="A79" s="54" t="str">
        <x:v>RK075</x:v>
      </x:c>
      <x:c r="B79" s="54" t="str">
        <x:v>数据库与数据建模</x:v>
      </x:c>
      <x:c r="C79" s="72" t="str">
        <x:v>A</x:v>
      </x:c>
      <x:c r="D79" s="54" t="str">
        <x:v>通过数据库原子扣减、版本号或适当锁机制控制竞态。</x:v>
      </x:c>
      <x:c r="E79" s="54" t="str">
        <x:v>章节训练</x:v>
      </x:c>
    </x:row>
    <x:row r="80" ht="45" customHeight="1">
      <x:c r="A80" s="54" t="str">
        <x:v>RK076</x:v>
      </x:c>
      <x:c r="B80" s="54" t="str">
        <x:v>需求工程与UML</x:v>
      </x:c>
      <x:c r="C80" s="72" t="str">
        <x:v>D</x:v>
      </x:c>
      <x:c r="D80" s="54" t="str">
        <x:v>父加工对外输入输出与子图整体对外输入输出应保持平衡。</x:v>
      </x:c>
      <x:c r="E80" s="54" t="str">
        <x:v>综合模考</x:v>
      </x:c>
    </x:row>
    <x:row r="81" ht="45" customHeight="1">
      <x:c r="A81" s="54" t="str">
        <x:v>RK077</x:v>
      </x:c>
      <x:c r="B81" s="54" t="str">
        <x:v>系统规划与企业信息化</x:v>
      </x:c>
      <x:c r="C81" s="72" t="str">
        <x:v>D</x:v>
      </x:c>
      <x:c r="D81" s="54" t="str">
        <x:v>ERP聚焦企业资源计划与流程数据集成。</x:v>
      </x:c>
      <x:c r="E81" s="54" t="str">
        <x:v>综合模考</x:v>
      </x:c>
    </x:row>
    <x:row r="82" ht="45" customHeight="1">
      <x:c r="A82" s="54" t="str">
        <x:v>RK078</x:v>
      </x:c>
      <x:c r="B82" s="54" t="str">
        <x:v>软件工程与开发方法</x:v>
      </x:c>
      <x:c r="C82" s="72" t="str">
        <x:v>D</x:v>
      </x:c>
      <x:c r="D82" s="54" t="str">
        <x:v>接口契约是跨团队协作与集成测试的依据。</x:v>
      </x:c>
      <x:c r="E82" s="54" t="str">
        <x:v>综合模考</x:v>
      </x:c>
    </x:row>
    <x:row r="83" ht="45" customHeight="1">
      <x:c r="A83" s="54" t="str">
        <x:v>RK079</x:v>
      </x:c>
      <x:c r="B83" s="54" t="str">
        <x:v>架构与设计模式</x:v>
      </x:c>
      <x:c r="C83" s="72" t="str">
        <x:v>B</x:v>
      </x:c>
      <x:c r="D83" s="54" t="str">
        <x:v>抽象工厂提供一族相互关联对象的创建接口。</x:v>
      </x:c>
      <x:c r="E83" s="54" t="str">
        <x:v>综合模考</x:v>
      </x:c>
    </x:row>
    <x:row r="84" ht="45" customHeight="1">
      <x:c r="A84" s="54" t="str">
        <x:v>RK080</x:v>
      </x:c>
      <x:c r="B84" s="54" t="str">
        <x:v>数据库与数据建模</x:v>
      </x:c>
      <x:c r="C84" s="72" t="str">
        <x:v>B</x:v>
      </x:c>
      <x:c r="D84" s="54" t="str">
        <x:v>索引加速查询，但INSERT/UPDATE/DELETE需维护索引。</x:v>
      </x:c>
      <x:c r="E84" s="54" t="str">
        <x:v>综合模考</x:v>
      </x:c>
    </x:row>
    <x:row r="85" ht="45" customHeight="1">
      <x:c r="A85" s="54" t="str">
        <x:v>RK081</x:v>
      </x:c>
      <x:c r="B85" s="54" t="str">
        <x:v>软件测试与质量</x:v>
      </x:c>
      <x:c r="C85" s="72" t="str">
        <x:v>D</x:v>
      </x:c>
      <x:c r="D85" s="54" t="str">
        <x:v>压力测试探索超载时系统表现与故障恢复，负载测试聚焦典型/目标负载。</x:v>
      </x:c>
      <x:c r="E85" s="54" t="str">
        <x:v>综合模考</x:v>
      </x:c>
    </x:row>
    <x:row r="86" ht="45" customHeight="1">
      <x:c r="A86" s="54" t="str">
        <x:v>RK082</x:v>
      </x:c>
      <x:c r="B86" s="54" t="str">
        <x:v>网络分布式与高可用</x:v>
      </x:c>
      <x:c r="C86" s="72" t="str">
        <x:v>A</x:v>
      </x:c>
      <x:c r="D86" s="54" t="str">
        <x:v>最终一致允许短期不同步，但要求在更新停止后最终收敛。</x:v>
      </x:c>
      <x:c r="E86" s="54" t="str">
        <x:v>综合模考</x:v>
      </x:c>
    </x:row>
    <x:row r="87" ht="45" customHeight="1">
      <x:c r="A87" s="54" t="str">
        <x:v>RK083</x:v>
      </x:c>
      <x:c r="B87" s="54" t="str">
        <x:v>安全合规与标准</x:v>
      </x:c>
      <x:c r="C87" s="72" t="str">
        <x:v>C</x:v>
      </x:c>
      <x:c r="D87" s="54" t="str">
        <x:v>Argon2id、bcrypt等密码哈希方案适于抵御离线猜测。</x:v>
      </x:c>
      <x:c r="E87" s="54" t="str">
        <x:v>综合模考</x:v>
      </x:c>
    </x:row>
    <x:row r="88" ht="45" customHeight="1">
      <x:c r="A88" s="54" t="str">
        <x:v>RK084</x:v>
      </x:c>
      <x:c r="B88" s="54" t="str">
        <x:v>计算机系统与操作系统</x:v>
      </x:c>
      <x:c r="C88" s="72" t="str">
        <x:v>B</x:v>
      </x:c>
      <x:c r="D88" s="54" t="str">
        <x:v>轮转调度在时间片上交替执行，公平但存在切换成本。</x:v>
      </x:c>
      <x:c r="E88" s="54" t="str">
        <x:v>综合模考</x:v>
      </x:c>
    </x:row>
    <x:row r="89" ht="45" customHeight="1">
      <x:c r="A89" s="54" t="str">
        <x:v>RK085</x:v>
      </x:c>
      <x:c r="B89" s="54" t="str">
        <x:v>工程数学与项目管理</x:v>
      </x:c>
      <x:c r="C89" s="72" t="str">
        <x:v>B</x:v>
      </x:c>
      <x:c r="D89" s="54" t="str">
        <x:v>最小生成树如Kruskal/Prim连接所有节点且使总权值最小。</x:v>
      </x:c>
      <x:c r="E89" s="54" t="str">
        <x:v>综合模考</x:v>
      </x:c>
    </x:row>
    <x:row r="90" ht="45" customHeight="1">
      <x:c r="A90" s="54" t="str">
        <x:v>RK086</x:v>
      </x:c>
      <x:c r="B90" s="54" t="str">
        <x:v>云原生微服务与AI</x:v>
      </x:c>
      <x:c r="C90" s="72" t="str">
        <x:v>C</x:v>
      </x:c>
      <x:c r="D90" s="54" t="str">
        <x:v>幻觉可以由生成、检索或提示等因素引发，需引用验证和约束。</x:v>
      </x:c>
      <x:c r="E90" s="54" t="str">
        <x:v>综合模考</x:v>
      </x:c>
    </x:row>
    <x:row r="91" ht="45" customHeight="1">
      <x:c r="A91" s="54" t="str">
        <x:v>RK087</x:v>
      </x:c>
      <x:c r="B91" s="54" t="str">
        <x:v>系统实施运维与英语</x:v>
      </x:c>
      <x:c r="C91" s="72" t="str">
        <x:v>D</x:v>
      </x:c>
      <x:c r="D91" s="54" t="str">
        <x:v>Logs、Metrics、Traces互补支持诊断运行问题。</x:v>
      </x:c>
      <x:c r="E91" s="54" t="str">
        <x:v>综合模考</x:v>
      </x:c>
    </x:row>
    <x:row r="92" ht="45" customHeight="1">
      <x:c r="A92" s="54" t="str">
        <x:v>RK088</x:v>
      </x:c>
      <x:c r="B92" s="54" t="str">
        <x:v>需求工程与UML</x:v>
      </x:c>
      <x:c r="C92" s="72" t="str">
        <x:v>A</x:v>
      </x:c>
      <x:c r="D92" s="54" t="str">
        <x:v>DFD基本元素为外部实体、加工、数据流、数据存储；索引为数据库实现细节。</x:v>
      </x:c>
      <x:c r="E92" s="54" t="str">
        <x:v>综合模考</x:v>
      </x:c>
    </x:row>
    <x:row r="93" ht="45" customHeight="1">
      <x:c r="A93" s="54" t="str">
        <x:v>RK089</x:v>
      </x:c>
      <x:c r="B93" s="54" t="str">
        <x:v>系统规划与企业信息化</x:v>
      </x:c>
      <x:c r="C93" s="72" t="str">
        <x:v>A</x:v>
      </x:c>
      <x:c r="D93" s="54" t="str">
        <x:v>CRM面向客户全生命周期管理。</x:v>
      </x:c>
      <x:c r="E93" s="54" t="str">
        <x:v>综合模考</x:v>
      </x:c>
    </x:row>
    <x:row r="94" ht="45" customHeight="1">
      <x:c r="A94" s="54" t="str">
        <x:v>RK090</x:v>
      </x:c>
      <x:c r="B94" s="54" t="str">
        <x:v>软件工程与开发方法</x:v>
      </x:c>
      <x:c r="C94" s="72" t="str">
        <x:v>A</x:v>
      </x:c>
      <x:c r="D94" s="54" t="str">
        <x:v>分支管理支持协作和追溯，但仍需审查和CI。</x:v>
      </x:c>
      <x:c r="E94" s="54" t="str">
        <x:v>综合模考</x:v>
      </x:c>
    </x:row>
    <x:row r="95" ht="45" customHeight="1">
      <x:c r="A95" s="54" t="str">
        <x:v>RK091</x:v>
      </x:c>
      <x:c r="B95" s="54" t="str">
        <x:v>架构与设计模式</x:v>
      </x:c>
      <x:c r="C95" s="72" t="str">
        <x:v>C</x:v>
      </x:c>
      <x:c r="D95" s="54" t="str">
        <x:v>装饰器以组合包装对象，动态附加职责。</x:v>
      </x:c>
      <x:c r="E95" s="54" t="str">
        <x:v>综合模考</x:v>
      </x:c>
    </x:row>
    <x:row r="96" ht="45" customHeight="1">
      <x:c r="A96" s="54" t="str">
        <x:v>RK092</x:v>
      </x:c>
      <x:c r="B96" s="54" t="str">
        <x:v>数据库与数据建模</x:v>
      </x:c>
      <x:c r="C96" s="72" t="str">
        <x:v>C</x:v>
      </x:c>
      <x:c r="D96" s="54" t="str">
        <x:v>事实表记录业务事件和度量，维度表描述分析切片。</x:v>
      </x:c>
      <x:c r="E96" s="54" t="str">
        <x:v>综合模考</x:v>
      </x:c>
    </x:row>
    <x:row r="97" ht="45" customHeight="1">
      <x:c r="A97" s="54" t="str">
        <x:v>RK093</x:v>
      </x:c>
      <x:c r="B97" s="54" t="str">
        <x:v>软件测试与质量</x:v>
      </x:c>
      <x:c r="C97" s="72" t="str">
        <x:v>A</x:v>
      </x:c>
      <x:c r="D97" s="54" t="str">
        <x:v>左移测试通过尽早识别缺陷降低返工成本。</x:v>
      </x:c>
      <x:c r="E97" s="54" t="str">
        <x:v>综合模考</x:v>
      </x:c>
    </x:row>
    <x:row r="98" ht="45" customHeight="1">
      <x:c r="A98" s="54" t="str">
        <x:v>RK094</x:v>
      </x:c>
      <x:c r="B98" s="54" t="str">
        <x:v>网络分布式与高可用</x:v>
      </x:c>
      <x:c r="C98" s="72" t="str">
        <x:v>B</x:v>
      </x:c>
      <x:c r="D98" s="54" t="str">
        <x:v>720×(1-0.999)=0.72小时=43.2分钟。</x:v>
      </x:c>
      <x:c r="E98" s="54" t="str">
        <x:v>综合模考</x:v>
      </x:c>
    </x:row>
    <x:row r="99" ht="45" customHeight="1">
      <x:c r="A99" s="54" t="str">
        <x:v>RK095</x:v>
      </x:c>
      <x:c r="B99" s="54" t="str">
        <x:v>安全合规与标准</x:v>
      </x:c>
      <x:c r="C99" s="72" t="str">
        <x:v>D</x:v>
      </x:c>
      <x:c r="D99" s="54" t="str">
        <x:v>日志也属于数据处理，应遵循最小必要及保留与访问控制要求。</x:v>
      </x:c>
      <x:c r="E99" s="54" t="str">
        <x:v>综合模考</x:v>
      </x:c>
    </x:row>
    <x:row r="100" ht="45" customHeight="1">
      <x:c r="A100" s="54" t="str">
        <x:v>RK096</x:v>
      </x:c>
      <x:c r="B100" s="54" t="str">
        <x:v>计算机系统与操作系统</x:v>
      </x:c>
      <x:c r="C100" s="72" t="str">
        <x:v>C</x:v>
      </x:c>
      <x:c r="D100" s="54" t="str">
        <x:v>RAID1镜像可容忍部分单盘故障，但不替代备份与异地灾备。</x:v>
      </x:c>
      <x:c r="E100" s="54" t="str">
        <x:v>综合模考</x:v>
      </x:c>
    </x:row>
    <x:row r="101" ht="45" customHeight="1">
      <x:c r="A101" s="54" t="str">
        <x:v>RK097</x:v>
      </x:c>
      <x:c r="B101" s="54" t="str">
        <x:v>工程数学与项目管理</x:v>
      </x:c>
      <x:c r="C101" s="72" t="str">
        <x:v>C</x:v>
      </x:c>
      <x:c r="D101" s="54" t="str">
        <x:v>Dijkstra适用非负权边；有负权边时不宜直接使用。</x:v>
      </x:c>
      <x:c r="E101" s="54" t="str">
        <x:v>综合模考</x:v>
      </x:c>
    </x:row>
    <x:row r="102" ht="45" customHeight="1">
      <x:c r="A102" s="54" t="str">
        <x:v>RK098</x:v>
      </x:c>
      <x:c r="B102" s="54" t="str">
        <x:v>云原生微服务与AI</x:v>
      </x:c>
      <x:c r="C102" s="72" t="str">
        <x:v>D</x:v>
      </x:c>
      <x:c r="D102" s="54" t="str">
        <x:v>工具调用放大权限与提示注入风险，应作权限隔离、确认与可追踪。</x:v>
      </x:c>
      <x:c r="E102" s="54" t="str">
        <x:v>综合模考</x:v>
      </x:c>
    </x:row>
    <x:row r="103" ht="45" customHeight="1">
      <x:c r="A103" s="54" t="str">
        <x:v>RK099</x:v>
      </x:c>
      <x:c r="B103" s="54" t="str">
        <x:v>系统实施运维与英语</x:v>
      </x:c>
      <x:c r="C103" s="72" t="str">
        <x:v>A</x:v>
      </x:c>
      <x:c r="D103" s="54" t="str">
        <x:v>包括用户、客户、运维、监管等受系统影响或影响系统的主体。</x:v>
      </x:c>
      <x:c r="E103" s="54" t="str">
        <x:v>综合模考</x:v>
      </x:c>
    </x:row>
    <x:row r="104" ht="45" customHeight="1">
      <x:c r="A104" s="54" t="str">
        <x:v>RK100</x:v>
      </x:c>
      <x:c r="B104" s="54" t="str">
        <x:v>需求工程与UML</x:v>
      </x:c>
      <x:c r="C104" s="72" t="str">
        <x:v>B</x:v>
      </x:c>
      <x:c r="D104" s="54" t="str">
        <x:v>双向可追溯使变更影响分析、覆盖检验和缺陷回溯可操作。</x:v>
      </x:c>
      <x:c r="E104" s="54" t="str">
        <x:v>综合模考</x:v>
      </x:c>
    </x:row>
    <x:row r="105" ht="45" customHeight="1">
      <x:c r="A105" s="54" t="str">
        <x:v>RK101</x:v>
      </x:c>
      <x:c r="B105" s="54" t="str">
        <x:v>系统规划与企业信息化</x:v>
      </x:c>
      <x:c r="C105" s="72" t="str">
        <x:v>B</x:v>
      </x:c>
      <x:c r="D105" s="54" t="str">
        <x:v>价值与成本/风险结合，能筛选快速见效项目。</x:v>
      </x:c>
      <x:c r="E105" s="54" t="str">
        <x:v>综合模考</x:v>
      </x:c>
    </x:row>
    <x:row r="106" ht="45" customHeight="1">
      <x:c r="A106" s="54" t="str">
        <x:v>RK102</x:v>
      </x:c>
      <x:c r="B106" s="54" t="str">
        <x:v>软件工程与开发方法</x:v>
      </x:c>
      <x:c r="C106" s="72" t="str">
        <x:v>B</x:v>
      </x:c>
      <x:c r="D106" s="54" t="str">
        <x:v>CI通过及时集成减少冲突和集成风险。</x:v>
      </x:c>
      <x:c r="E106" s="54" t="str">
        <x:v>综合模考</x:v>
      </x:c>
    </x:row>
    <x:row r="107" ht="45" customHeight="1">
      <x:c r="A107" s="54" t="str">
        <x:v>RK103</x:v>
      </x:c>
      <x:c r="B107" s="54" t="str">
        <x:v>架构与设计模式</x:v>
      </x:c>
      <x:c r="C107" s="72" t="str">
        <x:v>D</x:v>
      </x:c>
      <x:c r="D107" s="54" t="str">
        <x:v>拆分服务增大了网络失败、服务治理与跨服务事务成本。</x:v>
      </x:c>
      <x:c r="E107" s="54" t="str">
        <x:v>综合模考</x:v>
      </x:c>
    </x:row>
    <x:row r="108" ht="45" customHeight="1">
      <x:c r="A108" s="54" t="str">
        <x:v>RK104</x:v>
      </x:c>
      <x:c r="B108" s="54" t="str">
        <x:v>数据库与数据建模</x:v>
      </x:c>
      <x:c r="C108" s="72" t="str">
        <x:v>D</x:v>
      </x:c>
      <x:c r="D108" s="54" t="str">
        <x:v>HAVING过滤聚合后的组，WHERE过滤分组前的明细行。</x:v>
      </x:c>
      <x:c r="E108" s="54" t="str">
        <x:v>综合模考</x:v>
      </x:c>
    </x:row>
    <x:row r="109" ht="45" customHeight="1">
      <x:c r="A109" s="54" t="str">
        <x:v>RK105</x:v>
      </x:c>
      <x:c r="B109" s="54" t="str">
        <x:v>软件测试与质量</x:v>
      </x:c>
      <x:c r="C109" s="72" t="str">
        <x:v>B</x:v>
      </x:c>
      <x:c r="D109" s="54" t="str">
        <x:v>SQA关注质量活动和过程体系，QC通过检测与验证控制产品质量。</x:v>
      </x:c>
      <x:c r="E109" s="54" t="str">
        <x:v>综合模考</x:v>
      </x:c>
    </x:row>
    <x:row r="110" ht="45" customHeight="1">
      <x:c r="A110" s="54" t="str">
        <x:v>RK106</x:v>
      </x:c>
      <x:c r="B110" s="54" t="str">
        <x:v>网络分布式与高可用</x:v>
      </x:c>
      <x:c r="C110" s="72" t="str">
        <x:v>C</x:v>
      </x:c>
      <x:c r="D110" s="54" t="str">
        <x:v>健康探测可剔除失效实例，降低请求错误率。</x:v>
      </x:c>
      <x:c r="E110" s="54" t="str">
        <x:v>综合模考</x:v>
      </x:c>
    </x:row>
    <x:row r="111" ht="45" customHeight="1">
      <x:c r="A111" s="54" t="str">
        <x:v>RK107</x:v>
      </x:c>
      <x:c r="B111" s="54" t="str">
        <x:v>安全合规与标准</x:v>
      </x:c>
      <x:c r="C111" s="72" t="str">
        <x:v>A</x:v>
      </x:c>
      <x:c r="D111" s="54" t="str">
        <x:v>GB/T通常用于推荐性国家标准，GB通常用于强制性国家标准。</x:v>
      </x:c>
      <x:c r="E111" s="54" t="str">
        <x:v>综合模考</x:v>
      </x:c>
    </x:row>
    <x:row r="112" ht="45" customHeight="1">
      <x:c r="A112" s="54" t="str">
        <x:v>RK108</x:v>
      </x:c>
      <x:c r="B112" s="54" t="str">
        <x:v>计算机系统与操作系统</x:v>
      </x:c>
      <x:c r="C112" s="72" t="str">
        <x:v>D</x:v>
      </x:c>
      <x:c r="D112" s="54" t="str">
        <x:v>性能问题需从指标与剖析数据验证，不能只凭CPU指标下结论。</x:v>
      </x:c>
      <x:c r="E112" s="54" t="str">
        <x:v>综合模考</x:v>
      </x:c>
    </x:row>
    <x:row r="113" ht="45" customHeight="1">
      <x:c r="A113" s="54" t="str">
        <x:v>RK109</x:v>
      </x:c>
      <x:c r="B113" s="54" t="str">
        <x:v>工程数学与项目管理</x:v>
      </x:c>
      <x:c r="C113" s="72" t="str">
        <x:v>D</x:v>
      </x:c>
      <x:c r="D113" s="54" t="str">
        <x:v>敏感性分析帮助识别对成本、收益、利率等变量最敏感的结论。</x:v>
      </x:c>
      <x:c r="E113" s="54" t="str">
        <x:v>综合模考</x:v>
      </x:c>
    </x:row>
    <x:row r="114" ht="45" customHeight="1">
      <x:c r="A114" s="54" t="str">
        <x:v>RK110</x:v>
      </x:c>
      <x:c r="B114" s="54" t="str">
        <x:v>云原生微服务与AI</x:v>
      </x:c>
      <x:c r="C114" s="72" t="str">
        <x:v>A</x:v>
      </x:c>
      <x:c r="D114" s="54" t="str">
        <x:v>向量索引可帮助基于语义召回相关文本，仍需处理权限和更新。</x:v>
      </x:c>
      <x:c r="E114" s="54" t="str">
        <x:v>综合模考</x:v>
      </x:c>
    </x:row>
    <x:row r="115" ht="45" customHeight="1">
      <x:c r="A115" s="54" t="str">
        <x:v>RK111</x:v>
      </x:c>
      <x:c r="B115" s="54" t="str">
        <x:v>系统实施运维与英语</x:v>
      </x:c>
      <x:c r="C115" s="72" t="str">
        <x:v>B</x:v>
      </x:c>
      <x:c r="D115" s="54" t="str">
        <x:v>架构决策常权衡性能、一致性、成本、安全与交付时间。</x:v>
      </x:c>
      <x:c r="E115" s="54" t="str">
        <x:v>综合模考</x:v>
      </x:c>
    </x:row>
    <x:row r="116" ht="45" customHeight="1">
      <x:c r="A116" s="54" t="str">
        <x:v>RK112</x:v>
      </x:c>
      <x:c r="B116" s="54" t="str">
        <x:v>需求工程与UML</x:v>
      </x:c>
      <x:c r="C116" s="72" t="str">
        <x:v>C</x:v>
      </x:c>
      <x:c r="D116" s="54" t="str">
        <x:v>快速原型有助澄清不确定的交互需求，但不替代工程质量活动。</x:v>
      </x:c>
      <x:c r="E116" s="54" t="str">
        <x:v>综合模考</x:v>
      </x:c>
    </x:row>
    <x:row r="117" ht="45" customHeight="1">
      <x:c r="A117" s="54" t="str">
        <x:v>RK113</x:v>
      </x:c>
      <x:c r="B117" s="54" t="str">
        <x:v>系统规划与企业信息化</x:v>
      </x:c>
      <x:c r="C117" s="72" t="str">
        <x:v>C</x:v>
      </x:c>
      <x:c r="D117" s="54" t="str">
        <x:v>转为可衡量服务级别（如95分位延迟），便于方案选型。</x:v>
      </x:c>
      <x:c r="E117" s="54" t="str">
        <x:v>综合模考</x:v>
      </x:c>
    </x:row>
    <x:row r="118" ht="45" customHeight="1">
      <x:c r="A118" s="54" t="str">
        <x:v>RK114</x:v>
      </x:c>
      <x:c r="B118" s="54" t="str">
        <x:v>软件工程与开发方法</x:v>
      </x:c>
      <x:c r="C118" s="72" t="str">
        <x:v>C</x:v>
      </x:c>
      <x:c r="D118" s="54" t="str">
        <x:v>以跨职能合作、持续交付、监测反馈提升交付质量与效率。</x:v>
      </x:c>
      <x:c r="E118" s="54" t="str">
        <x:v>综合模考</x:v>
      </x:c>
    </x:row>
    <x:row r="119" ht="45" customHeight="1">
      <x:c r="A119" s="54" t="str">
        <x:v>RK115</x:v>
      </x:c>
      <x:c r="B119" s="54" t="str">
        <x:v>架构与设计模式</x:v>
      </x:c>
      <x:c r="C119" s="72" t="str">
        <x:v>A</x:v>
      </x:c>
      <x:c r="D119" s="54" t="str">
        <x:v>Saga通过本地事务及补偿操作处理跨服务业务流程。</x:v>
      </x:c>
      <x:c r="E119" s="54" t="str">
        <x:v>综合模考</x:v>
      </x:c>
    </x:row>
    <x:row r="120" ht="45" customHeight="1">
      <x:c r="A120" s="54" t="str">
        <x:v>RK116</x:v>
      </x:c>
      <x:c r="B120" s="54" t="str">
        <x:v>数据库与数据建模</x:v>
      </x:c>
      <x:c r="C120" s="72" t="str">
        <x:v>A</x:v>
      </x:c>
      <x:c r="D120" s="54" t="str">
        <x:v>左外连接保留左表所有行，右表没有匹配则为空值。</x:v>
      </x:c>
      <x:c r="E120" s="54" t="str">
        <x:v>综合模考</x:v>
      </x:c>
    </x:row>
    <x:row r="121" ht="45" customHeight="1">
      <x:c r="A121" s="54" t="str">
        <x:v>RK117</x:v>
      </x:c>
      <x:c r="B121" s="54" t="str">
        <x:v>软件测试与质量</x:v>
      </x:c>
      <x:c r="C121" s="72" t="str">
        <x:v>C</x:v>
      </x:c>
      <x:c r="D121" s="54" t="str">
        <x:v>漏出率可衡量缺陷在后续阶段或生产被发现的程度。</x:v>
      </x:c>
      <x:c r="E121" s="54" t="str">
        <x:v>综合模考</x:v>
      </x:c>
    </x:row>
    <x:row r="122" ht="45" customHeight="1">
      <x:c r="A122" s="54" t="str">
        <x:v>RK118</x:v>
      </x:c>
      <x:c r="B122" s="54" t="str">
        <x:v>网络分布式与高可用</x:v>
      </x:c>
      <x:c r="C122" s="72" t="str">
        <x:v>D</x:v>
      </x:c>
      <x:c r="D122" s="54" t="str">
        <x:v>RPO指恢复点目标，约束数据损失窗口；RTO指恢复时间目标。</x:v>
      </x:c>
      <x:c r="E122" s="54" t="str">
        <x:v>综合模考</x:v>
      </x:c>
    </x:row>
    <x:row r="123" ht="45" customHeight="1">
      <x:c r="A123" s="54" t="str">
        <x:v>RK119</x:v>
      </x:c>
      <x:c r="B123" s="54" t="str">
        <x:v>安全合规与标准</x:v>
      </x:c>
      <x:c r="C123" s="72" t="str">
        <x:v>B</x:v>
      </x:c>
      <x:c r="D123" s="54" t="str">
        <x:v>OAuth2是授权框架，不应等同于用户身份认证协议本身。</x:v>
      </x:c>
      <x:c r="E123" s="54" t="str">
        <x:v>综合模考</x:v>
      </x:c>
    </x:row>
    <x:row r="124" ht="45" customHeight="1">
      <x:c r="A124" s="54" t="str">
        <x:v>RK120</x:v>
      </x:c>
      <x:c r="B124" s="54" t="str">
        <x:v>计算机系统与操作系统</x:v>
      </x:c>
      <x:c r="C124" s="72" t="str">
        <x:v>A</x:v>
      </x:c>
      <x:c r="D124" s="54" t="str">
        <x:v>部署图用于节点、制品与通信链路建模。</x:v>
      </x:c>
      <x:c r="E124" s="54" t="str">
        <x:v>综合模考</x:v>
      </x:c>
    </x:row>
    <x:row r="125" ht="45" customHeight="1">
      <x:c r="A125" s="54" t="str">
        <x:v>RK121</x:v>
      </x:c>
      <x:c r="B125" s="54" t="str">
        <x:v>工程数学与项目管理</x:v>
      </x:c>
      <x:c r="C125" s="72" t="str">
        <x:v>A</x:v>
      </x:c>
      <x:c r="D125" s="54" t="str">
        <x:v>Responsible执行，Accountable对结果负责，Consulted咨询，Informed知情。</x:v>
      </x:c>
      <x:c r="E125" s="54" t="str">
        <x:v>综合模考</x:v>
      </x:c>
    </x:row>
    <x:row r="126" ht="45" customHeight="1">
      <x:c r="A126" s="54" t="str">
        <x:v>RK122</x:v>
      </x:c>
      <x:c r="B126" s="54" t="str">
        <x:v>云原生微服务与AI</x:v>
      </x:c>
      <x:c r="C126" s="72" t="str">
        <x:v>B</x:v>
      </x:c>
      <x:c r="D126" s="54" t="str">
        <x:v>外部数据不应被提升为高优先级指令，工具需做二次授权。</x:v>
      </x:c>
      <x:c r="E126" s="54" t="str">
        <x:v>综合模考</x:v>
      </x:c>
    </x:row>
    <x:row r="127" ht="45" customHeight="1">
      <x:c r="A127" s="54" t="str">
        <x:v>RK123</x:v>
      </x:c>
      <x:c r="B127" s="54" t="str">
        <x:v>系统实施运维与英语</x:v>
      </x:c>
      <x:c r="C127" s="72" t="str">
        <x:v>C</x:v>
      </x:c>
      <x:c r="D127" s="54" t="str">
        <x:v>验收标准应为可验证的业务或质量条件。</x:v>
      </x:c>
      <x:c r="E127" s="54" t="str">
        <x:v>综合模考</x:v>
      </x:c>
    </x:row>
    <x:row r="128" ht="45" customHeight="1">
      <x:c r="A128" s="54" t="str">
        <x:v>RK124</x:v>
      </x:c>
      <x:c r="B128" s="54" t="str">
        <x:v>需求工程与UML</x:v>
      </x:c>
      <x:c r="C128" s="72" t="str">
        <x:v>D</x:v>
      </x:c>
      <x:c r="D128" s="54" t="str">
        <x:v>受控变更包括提出、影响评估、审批、更新追踪与通知相关方。</x:v>
      </x:c>
      <x:c r="E128" s="54" t="str">
        <x:v>综合模考</x:v>
      </x:c>
    </x:row>
    <x:row r="129" ht="45" customHeight="1">
      <x:c r="A129" s="54" t="str">
        <x:v>RK125</x:v>
      </x:c>
      <x:c r="B129" s="54" t="str">
        <x:v>系统规划与企业信息化</x:v>
      </x:c>
      <x:c r="C129" s="72" t="str">
        <x:v>D</x:v>
      </x:c>
      <x:c r="D129" s="54" t="str">
        <x:v>缺少一致业务语义会造成接口虽通但数据不一致。</x:v>
      </x:c>
      <x:c r="E129" s="54" t="str">
        <x:v>综合模考</x:v>
      </x:c>
    </x:row>
    <x:row r="130" ht="45" customHeight="1">
      <x:c r="A130" s="54" t="str">
        <x:v>RK126</x:v>
      </x:c>
      <x:c r="B130" s="54" t="str">
        <x:v>软件工程与开发方法</x:v>
      </x:c>
      <x:c r="C130" s="72" t="str">
        <x:v>D</x:v>
      </x:c>
      <x:c r="D130" s="54" t="str">
        <x:v>基线用于变更控制、可追溯与版本一致性。</x:v>
      </x:c>
      <x:c r="E130" s="54" t="str">
        <x:v>综合模考</x:v>
      </x:c>
    </x:row>
    <x:row r="131" ht="45" customHeight="1">
      <x:c r="A131" s="54" t="str">
        <x:v>RK127</x:v>
      </x:c>
      <x:c r="B131" s="54" t="str">
        <x:v>架构与设计模式</x:v>
      </x:c>
      <x:c r="C131" s="72" t="str">
        <x:v>B</x:v>
      </x:c>
      <x:c r="D131" s="54" t="str">
        <x:v>API网关适合统一治理，但要评估单点风险与性能。</x:v>
      </x:c>
      <x:c r="E131" s="54" t="str">
        <x:v>综合模考</x:v>
      </x:c>
    </x:row>
    <x:row r="132" ht="45" customHeight="1">
      <x:c r="A132" s="54" t="str">
        <x:v>RK128</x:v>
      </x:c>
      <x:c r="B132" s="54" t="str">
        <x:v>数据库与数据建模</x:v>
      </x:c>
      <x:c r="C132" s="72" t="str">
        <x:v>B</x:v>
      </x:c>
      <x:c r="D132" s="54" t="str">
        <x:v>旁路缓存常使用读缓存未命中后回源、更新DB后失效缓存；仍需处理并发窗口。</x:v>
      </x:c>
      <x:c r="E132" s="54" t="str">
        <x:v>综合模考</x:v>
      </x:c>
    </x:row>
    <x:row r="133" ht="45" customHeight="1">
      <x:c r="A133" s="54" t="str">
        <x:v>RK129</x:v>
      </x:c>
      <x:c r="B133" s="54" t="str">
        <x:v>软件测试与质量</x:v>
      </x:c>
      <x:c r="C133" s="72" t="str">
        <x:v>D</x:v>
      </x:c>
      <x:c r="D133" s="54" t="str">
        <x:v>UAT侧重业务接受度与可用性，不替代其他测试层级。</x:v>
      </x:c>
      <x:c r="E133" s="54" t="str">
        <x:v>综合模考</x:v>
      </x:c>
    </x:row>
    <x:row r="134" ht="45" customHeight="1">
      <x:c r="A134" s="54" t="str">
        <x:v>RK130</x:v>
      </x:c>
      <x:c r="B134" s="54" t="str">
        <x:v>网络分布式与高可用</x:v>
      </x:c>
      <x:c r="C134" s="72" t="str">
        <x:v>A</x:v>
      </x:c>
      <x:c r="D134" s="54" t="str">
        <x:v>RTO约束业务恢复时间，不等于RPO。</x:v>
      </x:c>
      <x:c r="E134" s="54" t="str">
        <x:v>综合模考</x:v>
      </x:c>
    </x:row>
    <x:row r="135" ht="45" customHeight="1">
      <x:c r="A135" s="54" t="str">
        <x:v>RK131</x:v>
      </x:c>
      <x:c r="B135" s="54" t="str">
        <x:v>安全合规与标准</x:v>
      </x:c>
      <x:c r="C135" s="72" t="str">
        <x:v>C</x:v>
      </x:c>
      <x:c r="D135" s="54" t="str">
        <x:v>零信任强调身份、设备与上下文持续评估。</x:v>
      </x:c>
      <x:c r="E135" s="54" t="str">
        <x:v>综合模考</x:v>
      </x:c>
    </x:row>
    <x:row r="136" ht="45" customHeight="1">
      <x:c r="A136" s="54" t="str">
        <x:v>RK132</x:v>
      </x:c>
      <x:c r="B136" s="54" t="str">
        <x:v>计算机系统与操作系统</x:v>
      </x:c>
      <x:c r="C136" s="72" t="str">
        <x:v>B</x:v>
      </x:c>
      <x:c r="D136" s="54" t="str">
        <x:v>硬实时需证明满足截止期，关注调度确定性和中断延迟上界。</x:v>
      </x:c>
      <x:c r="E136" s="54" t="str">
        <x:v>综合模考</x:v>
      </x:c>
    </x:row>
    <x:row r="137" ht="45" customHeight="1">
      <x:c r="A137" s="54" t="str">
        <x:v>RK133</x:v>
      </x:c>
      <x:c r="B137" s="54" t="str">
        <x:v>工程数学与项目管理</x:v>
      </x:c>
      <x:c r="C137" s="72" t="str">
        <x:v>B</x:v>
      </x:c>
      <x:c r="D137" s="54" t="str">
        <x:v>EMV=0.3×100=30万元的期望损失。</x:v>
      </x:c>
      <x:c r="E137" s="54" t="str">
        <x:v>综合模考</x:v>
      </x:c>
    </x:row>
    <x:row r="138" ht="45" customHeight="1">
      <x:c r="A138" s="54" t="str">
        <x:v>RK134</x:v>
      </x:c>
      <x:c r="B138" s="54" t="str">
        <x:v>云原生微服务与AI</x:v>
      </x:c>
      <x:c r="C138" s="72" t="str">
        <x:v>C</x:v>
      </x:c>
      <x:c r="D138" s="54" t="str">
        <x:v>面向效果的质量指标比单纯产量更能反映有效性。</x:v>
      </x:c>
      <x:c r="E138" s="54" t="str">
        <x:v>综合模考</x:v>
      </x:c>
    </x:row>
    <x:row r="139" ht="45" customHeight="1">
      <x:c r="A139" s="54" t="str">
        <x:v>RK135</x:v>
      </x:c>
      <x:c r="B139" s="54" t="str">
        <x:v>需求工程与UML</x:v>
      </x:c>
      <x:c r="C139" s="72" t="str">
        <x:v>A</x:v>
      </x:c>
      <x:c r="D139" s="54" t="str">
        <x:v>描述系统对外提供的可观察业务能力。</x:v>
      </x:c>
      <x:c r="E139" s="54" t="str">
        <x:v>综合模考</x:v>
      </x:c>
    </x:row>
    <x:row r="140" ht="45" customHeight="1">
      <x:c r="A140" s="54" t="str">
        <x:v>RK136</x:v>
      </x:c>
      <x:c r="B140" s="54" t="str">
        <x:v>系统规划与企业信息化</x:v>
      </x:c>
      <x:c r="C140" s="72" t="str">
        <x:v>A</x:v>
      </x:c>
      <x:c r="D140" s="54" t="str">
        <x:v>属于流程效率提升的业务效益，可用于前后对比评估。</x:v>
      </x:c>
      <x:c r="E140" s="54" t="str">
        <x:v>综合模考</x:v>
      </x:c>
    </x:row>
    <x:row r="141" ht="45" customHeight="1">
      <x:c r="A141" s="54" t="str">
        <x:v>RK137</x:v>
      </x:c>
      <x:c r="B141" s="54" t="str">
        <x:v>软件工程与开发方法</x:v>
      </x:c>
      <x:c r="C141" s="72" t="str">
        <x:v>A</x:v>
      </x:c>
      <x:c r="D141" s="54" t="str">
        <x:v>迭代回顾是过程持续改进，不只是进展汇报。</x:v>
      </x:c>
      <x:c r="E141" s="54" t="str">
        <x:v>综合模考</x:v>
      </x:c>
    </x:row>
    <x:row r="142" ht="45" customHeight="1">
      <x:c r="A142" s="54" t="str">
        <x:v>RK138</x:v>
      </x:c>
      <x:c r="B142" s="54" t="str">
        <x:v>架构与设计模式</x:v>
      </x:c>
      <x:c r="C142" s="72" t="str">
        <x:v>C</x:v>
      </x:c>
      <x:c r="D142" s="54" t="str">
        <x:v>CQRS把查询与命令职责分离，但引入数据同步复杂度。</x:v>
      </x:c>
      <x:c r="E142" s="54" t="str">
        <x:v>综合模考</x:v>
      </x:c>
    </x:row>
    <x:row r="143" ht="45" customHeight="1">
      <x:c r="A143" s="54" t="str">
        <x:v>RK139</x:v>
      </x:c>
      <x:c r="B143" s="54" t="str">
        <x:v>数据库与数据建模</x:v>
      </x:c>
      <x:c r="C143" s="72" t="str">
        <x:v>C</x:v>
      </x:c>
      <x:c r="D143" s="54" t="str">
        <x:v>分片键决定数据分布及跨分片查询成本，需平衡倾斜与访问模式。</x:v>
      </x:c>
      <x:c r="E143" s="54" t="str">
        <x:v>综合模考</x:v>
      </x:c>
    </x:row>
    <x:row r="144" ht="45" customHeight="1">
      <x:c r="A144" s="54" t="str">
        <x:v>RK140</x:v>
      </x:c>
      <x:c r="B144" s="54" t="str">
        <x:v>软件测试与质量</x:v>
      </x:c>
      <x:c r="C144" s="72" t="str">
        <x:v>A</x:v>
      </x:c>
      <x:c r="D144" s="54" t="str">
        <x:v>大模型可能遗漏边界/产生错误断言，需审查、执行和度量。</x:v>
      </x:c>
      <x:c r="E144" s="54" t="str">
        <x:v>综合模考</x:v>
      </x:c>
    </x:row>
    <x:row r="145" ht="45" customHeight="1">
      <x:c r="A145" s="54" t="str">
        <x:v>RK141</x:v>
      </x:c>
      <x:c r="B145" s="54" t="str">
        <x:v>网络分布式与高可用</x:v>
      </x:c>
      <x:c r="C145" s="72" t="str">
        <x:v>B</x:v>
      </x:c>
      <x:c r="D145" s="54" t="str">
        <x:v>读副本/缓存提高读吞吐，但需明确一致性与更新策略。</x:v>
      </x:c>
      <x:c r="E145" s="54" t="str">
        <x:v>综合模考</x:v>
      </x:c>
    </x:row>
    <x:row r="146" ht="45" customHeight="1">
      <x:c r="A146" s="54" t="str">
        <x:v>RK142</x:v>
      </x:c>
      <x:c r="B146" s="54" t="str">
        <x:v>安全合规与标准</x:v>
      </x:c>
      <x:c r="C146" s="72" t="str">
        <x:v>D</x:v>
      </x:c>
      <x:c r="D146" s="54" t="str">
        <x:v>备份能否隔离勒索范围且成功恢复，需要演练验证。</x:v>
      </x:c>
      <x:c r="E146" s="54" t="str">
        <x:v>综合模考</x:v>
      </x:c>
    </x:row>
    <x:row r="147" ht="45" customHeight="1">
      <x:c r="A147" s="54" t="str">
        <x:v>RK143</x:v>
      </x:c>
      <x:c r="B147" s="54" t="str">
        <x:v>云原生微服务与AI</x:v>
      </x:c>
      <x:c r="C147" s="72" t="str">
        <x:v>D</x:v>
      </x:c>
      <x:c r="D147" s="54" t="str">
        <x:v>蓝绿通过两套环境切换，金丝雀按流量/用户逐步推出版本。</x:v>
      </x:c>
      <x:c r="E147" s="54" t="str">
        <x:v>综合模考</x:v>
      </x:c>
    </x:row>
    <x:row r="148" ht="45" customHeight="1">
      <x:c r="A148" s="54" t="str">
        <x:v>RK144</x:v>
      </x:c>
      <x:c r="B148" s="54" t="str">
        <x:v>需求工程与UML</x:v>
      </x:c>
      <x:c r="C148" s="72" t="str">
        <x:v>B</x:v>
      </x:c>
      <x:c r="D148" s="54" t="str">
        <x:v>边界、利益相关方和接口先明确，才能合理抽取用例。</x:v>
      </x:c>
      <x:c r="E148" s="54" t="str">
        <x:v>综合模考</x:v>
      </x:c>
    </x:row>
    <x:row r="149" ht="45" customHeight="1">
      <x:c r="A149" s="54" t="str">
        <x:v>RK145</x:v>
      </x:c>
      <x:c r="B149" s="54" t="str">
        <x:v>架构与设计模式</x:v>
      </x:c>
      <x:c r="C149" s="72" t="str">
        <x:v>D</x:v>
      </x:c>
      <x:c r="D149" s="54" t="str">
        <x:v>无状态服务便于水平扩缩容与故障替换。</x:v>
      </x:c>
      <x:c r="E149" s="54" t="str">
        <x:v>综合模考</x:v>
      </x:c>
    </x:row>
    <x:row r="150" ht="45" customHeight="1">
      <x:c r="A150" s="54" t="str">
        <x:v>RK146</x:v>
      </x:c>
      <x:c r="B150" s="54" t="str">
        <x:v>数据库与数据建模</x:v>
      </x:c>
      <x:c r="C150" s="72" t="str">
        <x:v>D</x:v>
      </x:c>
      <x:c r="D150" s="54" t="str">
        <x:v>外键用于约束引用关系是否存在，与性能及UI无直接关系。</x:v>
      </x:c>
      <x:c r="E150" s="54" t="str">
        <x:v>综合模考</x:v>
      </x:c>
    </x:row>
    <x:row r="151" ht="45" customHeight="1">
      <x:c r="A151" s="54" t="str">
        <x:v>RK147</x:v>
      </x:c>
      <x:c r="B151" s="54" t="str">
        <x:v>软件测试与质量</x:v>
      </x:c>
      <x:c r="C151" s="72" t="str">
        <x:v>B</x:v>
      </x:c>
      <x:c r="D151" s="54" t="str">
        <x:v>通过受控故障演练验证熔断、回退与恢复，但须设置保护栏。</x:v>
      </x:c>
      <x:c r="E151" s="54" t="str">
        <x:v>综合模考</x:v>
      </x:c>
    </x:row>
    <x:row r="152" ht="45" customHeight="1">
      <x:c r="A152" s="54" t="str">
        <x:v>RK148</x:v>
      </x:c>
      <x:c r="B152" s="54" t="str">
        <x:v>网络分布式与高可用</x:v>
      </x:c>
      <x:c r="C152" s="72" t="str">
        <x:v>C</x:v>
      </x:c>
      <x:c r="D152" s="54" t="str">
        <x:v>统一trace ID有助于诊断跨服务时延与错误传播。</x:v>
      </x:c>
      <x:c r="E152" s="54" t="str">
        <x:v>综合模考</x:v>
      </x:c>
    </x:row>
    <x:row r="153" ht="45" customHeight="1">
      <x:c r="A153" s="54" t="str">
        <x:v>RK149</x:v>
      </x:c>
      <x:c r="B153" s="54" t="str">
        <x:v>需求工程与UML</x:v>
      </x:c>
      <x:c r="C153" s="72" t="str">
        <x:v>C</x:v>
      </x:c>
      <x:c r="D153" s="54" t="str">
        <x:v>含条件、测量方法和阈值，具备客观可验证性。</x:v>
      </x:c>
      <x:c r="E153" s="54" t="str">
        <x:v>综合模考</x:v>
      </x:c>
    </x:row>
    <x:row r="154" ht="45" customHeight="1">
      <x:c r="A154" s="54" t="str">
        <x:v>RK150</x:v>
      </x:c>
      <x:c r="B154" s="54" t="str">
        <x:v>架构与设计模式</x:v>
      </x:c>
      <x:c r="C154" s="72" t="str">
        <x:v>A</x:v>
      </x:c>
      <x:c r="D154" s="54" t="str">
        <x:v>质量属性场景应包含环境、刺激、系统响应及可测量指标。</x:v>
      </x:c>
      <x:c r="E154" s="54" t="str">
        <x:v>综合模考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90" hidden="0" customWidth="1"/>
    <x:col min="4" max="4" width="73" hidden="0" customWidth="1"/>
    <x:col min="5" max="5" width="10" hidden="0" customWidth="1"/>
    <x:col min="6" max="6" width="15" hidden="0" customWidth="1"/>
  </x:cols>
  <x:sheetData>
    <x:row r="1" ht="34" customHeight="1">
      <x:c r="A1" s="4" t="str">
        <x:v>76条必背知识卡｜7天记忆主线</x:v>
      </x:c>
      <x:c r="B1" s="4"/>
      <x:c r="C1" s="4"/>
      <x:c r="D1" s="4"/>
      <x:c r="E1" s="4"/>
      <x:c r="F1" s="4"/>
    </x:row>
    <x:row r="2" ht="25" customHeight="1">
      <x:c r="A2" s="11" t="str">
        <x:v>A级＝每晚默写；B级＝能识别选项并在案例中运用；F列请标记掌握程度</x:v>
      </x:c>
      <x:c r="B2" s="11"/>
      <x:c r="C2" s="11"/>
      <x:c r="D2" s="11"/>
      <x:c r="E2" s="11"/>
      <x:c r="F2" s="11"/>
    </x:row>
    <x:row r="3">
      <x:c r="A3" t="str"/>
    </x:row>
    <x:row r="4" ht="29" customHeight="1">
      <x:c r="A4" s="46" t="str">
        <x:v>模块</x:v>
      </x:c>
      <x:c r="B4" s="46" t="str">
        <x:v>必背主题</x:v>
      </x:c>
      <x:c r="C4" s="46" t="str">
        <x:v>最小必要知识</x:v>
      </x:c>
      <x:c r="D4" s="46" t="str">
        <x:v>最易错点</x:v>
      </x:c>
      <x:c r="E4" s="46" t="str">
        <x:v>级别</x:v>
      </x:c>
      <x:c r="F4" s="46" t="str">
        <x:v>掌握状态</x:v>
      </x:c>
    </x:row>
    <x:row r="5" ht="53" customHeight="1">
      <x:c r="A5" s="54" t="str">
        <x:v>需求/UML/建模</x:v>
      </x:c>
      <x:c r="B5" s="54" t="str">
        <x:v>需求类型</x:v>
      </x:c>
      <x:c r="C5" s="54" t="str">
        <x:v>功能描述系统做什么；非功能描述性能、安全、可用性等质量约束</x:v>
      </x:c>
      <x:c r="D5" s="54" t="str">
        <x:v>“响应2秒”是性能NFR而非业务功能</x:v>
      </x:c>
      <x:c r="E5" s="54" t="str">
        <x:v>A</x:v>
      </x:c>
      <x:c r="F5" s="56" t="str">
        <x:v>未开始</x:v>
      </x:c>
    </x:row>
    <x:row r="6" ht="53" customHeight="1">
      <x:c r="A6" s="54" t="str">
        <x:v>需求/UML/建模</x:v>
      </x:c>
      <x:c r="B6" s="54" t="str">
        <x:v>好需求6项</x:v>
      </x:c>
      <x:c r="C6" s="54" t="str">
        <x:v>正确、无歧义、完整、一致、可验证、可追溯，并评估可行性与必要性</x:v>
      </x:c>
      <x:c r="D6" s="54" t="str">
        <x:v>形容词“高效、好用”没有阈值就不能验收</x:v>
      </x:c>
      <x:c r="E6" s="54" t="str">
        <x:v>A</x:v>
      </x:c>
      <x:c r="F6" s="56" t="str">
        <x:v>未开始</x:v>
      </x:c>
    </x:row>
    <x:row r="7" ht="53" customHeight="1">
      <x:c r="A7" s="54" t="str">
        <x:v>需求/UML/建模</x:v>
      </x:c>
      <x:c r="B7" s="54" t="str">
        <x:v>需求获取</x:v>
      </x:c>
      <x:c r="C7" s="54" t="str">
        <x:v>访谈、问卷、观察、工作坊、原型、文档分析</x:v>
      </x:c>
      <x:c r="D7" s="54" t="str">
        <x:v>争议多时用联合研讨澄清边界</x:v>
      </x:c>
      <x:c r="E7" s="54" t="str">
        <x:v>A</x:v>
      </x:c>
      <x:c r="F7" s="56" t="str">
        <x:v>未开始</x:v>
      </x:c>
    </x:row>
    <x:row r="8" ht="53" customHeight="1">
      <x:c r="A8" s="54" t="str">
        <x:v>需求/UML/建模</x:v>
      </x:c>
      <x:c r="B8" s="54" t="str">
        <x:v>需求基线/变更</x:v>
      </x:c>
      <x:c r="C8" s="54" t="str">
        <x:v>提交请求→影响分析→评审批准→更新基线/测试→通知各方</x:v>
      </x:c>
      <x:c r="D8" s="54" t="str">
        <x:v>批准前不得直接改基线</x:v>
      </x:c>
      <x:c r="E8" s="54" t="str">
        <x:v>A</x:v>
      </x:c>
      <x:c r="F8" s="56" t="str">
        <x:v>未开始</x:v>
      </x:c>
    </x:row>
    <x:row r="9" ht="53" customHeight="1">
      <x:c r="A9" s="54" t="str">
        <x:v>需求/UML/建模</x:v>
      </x:c>
      <x:c r="B9" s="54" t="str">
        <x:v>需求追踪</x:v>
      </x:c>
      <x:c r="C9" s="54" t="str">
        <x:v>需求↔来源↔设计↔代码↔测试的双向追踪矩阵</x:v>
      </x:c>
      <x:c r="D9" s="54" t="str">
        <x:v>追踪不是只有编号</x:v>
      </x:c>
      <x:c r="E9" s="54" t="str">
        <x:v>A</x:v>
      </x:c>
      <x:c r="F9" s="56" t="str">
        <x:v>未开始</x:v>
      </x:c>
    </x:row>
    <x:row r="10" ht="53" customHeight="1">
      <x:c r="A10" s="54" t="str">
        <x:v>需求/UML/建模</x:v>
      </x:c>
      <x:c r="B10" s="54" t="str">
        <x:v>用例图</x:v>
      </x:c>
      <x:c r="C10" s="54" t="str">
        <x:v>参与者、系统边界、用例；include必经复用，extend可选扩展</x:v>
      </x:c>
      <x:c r="D10" s="54" t="str">
        <x:v>客户经理和外部支付网关都可以是参与者</x:v>
      </x:c>
      <x:c r="E10" s="54" t="str">
        <x:v>A</x:v>
      </x:c>
      <x:c r="F10" s="56" t="str">
        <x:v>未开始</x:v>
      </x:c>
    </x:row>
    <x:row r="11" ht="53" customHeight="1">
      <x:c r="A11" s="54" t="str">
        <x:v>需求/UML/建模</x:v>
      </x:c>
      <x:c r="B11" s="54" t="str">
        <x:v>顺序图</x:v>
      </x:c>
      <x:c r="C11" s="54" t="str">
        <x:v>生命线、消息、激活、alt/opt/loop，强调交互顺序</x:v>
      </x:c>
      <x:c r="D11" s="54" t="str">
        <x:v>不是类的静态关系图</x:v>
      </x:c>
      <x:c r="E11" s="54" t="str">
        <x:v>A</x:v>
      </x:c>
      <x:c r="F11" s="56" t="str">
        <x:v>未开始</x:v>
      </x:c>
    </x:row>
    <x:row r="12" ht="53" customHeight="1">
      <x:c r="A12" s="54" t="str">
        <x:v>需求/UML/建模</x:v>
      </x:c>
      <x:c r="B12" s="54" t="str">
        <x:v>活动图</x:v>
      </x:c>
      <x:c r="C12" s="54" t="str">
        <x:v>动作、分支/合并、并行分叉/汇合、泳道</x:v>
      </x:c>
      <x:c r="D12" s="54" t="str">
        <x:v>分支不是并发</x:v>
      </x:c>
      <x:c r="E12" s="54" t="str">
        <x:v>A</x:v>
      </x:c>
      <x:c r="F12" s="56" t="str">
        <x:v>未开始</x:v>
      </x:c>
    </x:row>
    <x:row r="13" ht="53" customHeight="1">
      <x:c r="A13" s="54" t="str">
        <x:v>需求/UML/建模</x:v>
      </x:c>
      <x:c r="B13" s="54" t="str">
        <x:v>状态图</x:v>
      </x:c>
      <x:c r="C13" s="54" t="str">
        <x:v>状态、事件、守卫、动作；订单生命周期最典型</x:v>
      </x:c>
      <x:c r="D13" s="54" t="str">
        <x:v>适合状态复杂对象</x:v>
      </x:c>
      <x:c r="E13" s="54" t="str">
        <x:v>A</x:v>
      </x:c>
      <x:c r="F13" s="56" t="str">
        <x:v>未开始</x:v>
      </x:c>
    </x:row>
    <x:row r="14" ht="53" customHeight="1">
      <x:c r="A14" s="54" t="str">
        <x:v>需求/UML/建模</x:v>
      </x:c>
      <x:c r="B14" s="54" t="str">
        <x:v>类图</x:v>
      </x:c>
      <x:c r="C14" s="54" t="str">
        <x:v>属性/操作；关联、聚合、组合、泛化、依赖</x:v>
      </x:c>
      <x:c r="D14" s="54" t="str">
        <x:v>组合关系更强调生命周期依存</x:v>
      </x:c>
      <x:c r="E14" s="54" t="str">
        <x:v>A</x:v>
      </x:c>
      <x:c r="F14" s="56" t="str">
        <x:v>未开始</x:v>
      </x:c>
    </x:row>
    <x:row r="15" ht="53" customHeight="1">
      <x:c r="A15" s="54" t="str">
        <x:v>需求/UML/建模</x:v>
      </x:c>
      <x:c r="B15" s="54" t="str">
        <x:v>DFD四元素</x:v>
      </x:c>
      <x:c r="C15" s="54" t="str">
        <x:v>外部实体、数据流、加工、数据存储；分解前后保持数据流平衡</x:v>
      </x:c>
      <x:c r="D15" s="54" t="str">
        <x:v>不能数据直接“实体→数据存储”而无加工</x:v>
      </x:c>
      <x:c r="E15" s="54" t="str">
        <x:v>A</x:v>
      </x:c>
      <x:c r="F15" s="56" t="str">
        <x:v>未开始</x:v>
      </x:c>
    </x:row>
    <x:row r="16" ht="53" customHeight="1">
      <x:c r="A16" s="54" t="str">
        <x:v>需求/UML/建模</x:v>
      </x:c>
      <x:c r="B16" s="54" t="str">
        <x:v>业务流程重构</x:v>
      </x:c>
      <x:c r="C16" s="54" t="str">
        <x:v>先识别瓶颈、冗余审批及价值活动，再重设计流程与数字化指标</x:v>
      </x:c>
      <x:c r="D16" s="54" t="str">
        <x:v>BPR不是简单扫描纸张</x:v>
      </x:c>
      <x:c r="E16" s="54" t="str">
        <x:v>B</x:v>
      </x:c>
      <x:c r="F16" s="56" t="str">
        <x:v>未开始</x:v>
      </x:c>
    </x:row>
    <x:row r="17" ht="53" customHeight="1">
      <x:c r="A17" s="54" t="str">
        <x:v>软件工程/架构</x:v>
      </x:c>
      <x:c r="B17" s="54" t="str">
        <x:v>开发模型</x:v>
      </x:c>
      <x:c r="C17" s="54" t="str">
        <x:v>瀑布：稳定需求；原型：模糊需求；增量：逐批交付；敏捷：短周期反馈</x:v>
      </x:c>
      <x:c r="D17" s="54" t="str">
        <x:v>任何模型都不能取消风险管理和测试</x:v>
      </x:c>
      <x:c r="E17" s="54" t="str">
        <x:v>A</x:v>
      </x:c>
      <x:c r="F17" s="56" t="str">
        <x:v>未开始</x:v>
      </x:c>
    </x:row>
    <x:row r="18" ht="53" customHeight="1">
      <x:c r="A18" s="54" t="str">
        <x:v>软件工程/架构</x:v>
      </x:c>
      <x:c r="B18" s="54" t="str">
        <x:v>敏捷/Scrum</x:v>
      </x:c>
      <x:c r="C18" s="54" t="str">
        <x:v>PO管待办优先级；Scrum Master促进流程；团队交付增量</x:v>
      </x:c>
      <x:c r="D18" s="54" t="str">
        <x:v>敏捷不等于零文档零计划</x:v>
      </x:c>
      <x:c r="E18" s="54" t="str">
        <x:v>A</x:v>
      </x:c>
      <x:c r="F18" s="56" t="str">
        <x:v>未开始</x:v>
      </x:c>
    </x:row>
    <x:row r="19" ht="53" customHeight="1">
      <x:c r="A19" s="54" t="str">
        <x:v>软件工程/架构</x:v>
      </x:c>
      <x:c r="B19" s="54" t="str">
        <x:v>CI/CD</x:v>
      </x:c>
      <x:c r="C19" s="54" t="str">
        <x:v>持续集成：频繁构建测试；持续交付：随时可发；持续部署：自动投产</x:v>
      </x:c>
      <x:c r="D19" s="54" t="str">
        <x:v>三个术语不要互换</x:v>
      </x:c>
      <x:c r="E19" s="54" t="str">
        <x:v>A</x:v>
      </x:c>
      <x:c r="F19" s="56" t="str">
        <x:v>未开始</x:v>
      </x:c>
    </x:row>
    <x:row r="20" ht="53" customHeight="1">
      <x:c r="A20" s="54" t="str">
        <x:v>软件工程/架构</x:v>
      </x:c>
      <x:c r="B20" s="54" t="str">
        <x:v>高内聚低耦合</x:v>
      </x:c>
      <x:c r="C20" s="54" t="str">
        <x:v>模块职责集中、依赖少；变化局部化</x:v>
      </x:c>
      <x:c r="D20" s="54" t="str">
        <x:v>不要把所有服务做成超级类</x:v>
      </x:c>
      <x:c r="E20" s="54" t="str">
        <x:v>A</x:v>
      </x:c>
      <x:c r="F20" s="56" t="str">
        <x:v>未开始</x:v>
      </x:c>
    </x:row>
    <x:row r="21" ht="53" customHeight="1">
      <x:c r="A21" s="54" t="str">
        <x:v>软件工程/架构</x:v>
      </x:c>
      <x:c r="B21" s="54" t="str">
        <x:v>质量属性场景</x:v>
      </x:c>
      <x:c r="C21" s="54" t="str">
        <x:v>刺激源/刺激/环境/制品/响应/响应度量</x:v>
      </x:c>
      <x:c r="D21" s="54" t="str">
        <x:v>“性能好”不是质量场景</x:v>
      </x:c>
      <x:c r="E21" s="54" t="str">
        <x:v>A</x:v>
      </x:c>
      <x:c r="F21" s="56" t="str">
        <x:v>未开始</x:v>
      </x:c>
    </x:row>
    <x:row r="22" ht="53" customHeight="1">
      <x:c r="A22" s="54" t="str">
        <x:v>软件工程/架构</x:v>
      </x:c>
      <x:c r="B22" s="54" t="str">
        <x:v>4+1视图</x:v>
      </x:c>
      <x:c r="C22" s="54" t="str">
        <x:v>逻辑：功能对象；进程：并发通信；开发：模块组织；物理：部署；场景：用例验证</x:v>
      </x:c>
      <x:c r="D22" s="54" t="str">
        <x:v>运行态并发是进程视图</x:v>
      </x:c>
      <x:c r="E22" s="54" t="str">
        <x:v>A</x:v>
      </x:c>
      <x:c r="F22" s="56" t="str">
        <x:v>未开始</x:v>
      </x:c>
    </x:row>
    <x:row r="23" ht="53" customHeight="1">
      <x:c r="A23" s="54" t="str">
        <x:v>软件工程/架构</x:v>
      </x:c>
      <x:c r="B23" s="54" t="str">
        <x:v>分层架构</x:v>
      </x:c>
      <x:c r="C23" s="54" t="str">
        <x:v>表示层→业务层→持久层；层间职责明确</x:v>
      </x:c>
      <x:c r="D23" s="54" t="str">
        <x:v>跨层直接访问存储破坏分层</x:v>
      </x:c>
      <x:c r="E23" s="54" t="str">
        <x:v>A</x:v>
      </x:c>
      <x:c r="F23" s="56" t="str">
        <x:v>未开始</x:v>
      </x:c>
    </x:row>
    <x:row r="24" ht="53" customHeight="1">
      <x:c r="A24" s="54" t="str">
        <x:v>软件工程/架构</x:v>
      </x:c>
      <x:c r="B24" s="54" t="str">
        <x:v>微服务边界</x:v>
      </x:c>
      <x:c r="C24" s="54" t="str">
        <x:v>按领域能力/有界上下文划分；独立部署和数据所有权</x:v>
      </x:c>
      <x:c r="D24" s="54" t="str">
        <x:v>拆过细会放大分布式复杂度</x:v>
      </x:c>
      <x:c r="E24" s="54" t="str">
        <x:v>A</x:v>
      </x:c>
      <x:c r="F24" s="56" t="str">
        <x:v>未开始</x:v>
      </x:c>
    </x:row>
    <x:row r="25" ht="53" customHeight="1">
      <x:c r="A25" s="54" t="str">
        <x:v>软件工程/架构</x:v>
      </x:c>
      <x:c r="B25" s="54" t="str">
        <x:v>事件驱动</x:v>
      </x:c>
      <x:c r="C25" s="54" t="str">
        <x:v>发布/订阅异步解耦；要考虑重试、积压和最终一致</x:v>
      </x:c>
      <x:c r="D25" s="54" t="str">
        <x:v>消息重复通常是正常边界条件</x:v>
      </x:c>
      <x:c r="E25" s="54" t="str">
        <x:v>A</x:v>
      </x:c>
      <x:c r="F25" s="56" t="str">
        <x:v>未开始</x:v>
      </x:c>
    </x:row>
    <x:row r="26" ht="53" customHeight="1">
      <x:c r="A26" s="54" t="str">
        <x:v>软件工程/架构</x:v>
      </x:c>
      <x:c r="B26" s="54" t="str">
        <x:v>设计模式-策略</x:v>
      </x:c>
      <x:c r="C26" s="54" t="str">
        <x:v>封装算法族，运行时切换计费/推荐规则</x:v>
      </x:c>
      <x:c r="D26" s="54" t="str">
        <x:v>不要与状态模式混淆</x:v>
      </x:c>
      <x:c r="E26" s="54" t="str">
        <x:v>A</x:v>
      </x:c>
      <x:c r="F26" s="56" t="str">
        <x:v>未开始</x:v>
      </x:c>
    </x:row>
    <x:row r="27" ht="53" customHeight="1">
      <x:c r="A27" s="54" t="str">
        <x:v>软件工程/架构</x:v>
      </x:c>
      <x:c r="B27" s="54" t="str">
        <x:v>设计模式-观察者</x:v>
      </x:c>
      <x:c r="C27" s="54" t="str">
        <x:v>对象状态变化通知多个订阅者</x:v>
      </x:c>
      <x:c r="D27" s="54" t="str">
        <x:v>一般关联事件通知</x:v>
      </x:c>
      <x:c r="E27" s="54" t="str">
        <x:v>A</x:v>
      </x:c>
      <x:c r="F27" s="56" t="str">
        <x:v>未开始</x:v>
      </x:c>
    </x:row>
    <x:row r="28" ht="53" customHeight="1">
      <x:c r="A28" s="54" t="str">
        <x:v>软件工程/架构</x:v>
      </x:c>
      <x:c r="B28" s="54" t="str">
        <x:v>设计模式-适配器</x:v>
      </x:c>
      <x:c r="C28" s="54" t="str">
        <x:v>将旧接口转换为新接口，兼容遗留系统</x:v>
      </x:c>
      <x:c r="D28" s="54" t="str">
        <x:v>不同于外观：外观简化子系统接口</x:v>
      </x:c>
      <x:c r="E28" s="54" t="str">
        <x:v>A</x:v>
      </x:c>
      <x:c r="F28" s="56" t="str">
        <x:v>未开始</x:v>
      </x:c>
    </x:row>
    <x:row r="29" ht="53" customHeight="1">
      <x:c r="A29" s="54" t="str">
        <x:v>软件工程/架构</x:v>
      </x:c>
      <x:c r="B29" s="54" t="str">
        <x:v>设计模式-备忘录</x:v>
      </x:c>
      <x:c r="C29" s="54" t="str">
        <x:v>保存并恢复状态；撤销/回滚场景</x:v>
      </x:c>
      <x:c r="D29" s="54" t="str">
        <x:v>原型模式是复制对象</x:v>
      </x:c>
      <x:c r="E29" s="54" t="str">
        <x:v>B</x:v>
      </x:c>
      <x:c r="F29" s="56" t="str">
        <x:v>未开始</x:v>
      </x:c>
    </x:row>
    <x:row r="30" ht="53" customHeight="1">
      <x:c r="A30" s="54" t="str">
        <x:v>软件工程/架构</x:v>
      </x:c>
      <x:c r="B30" s="54" t="str">
        <x:v>设计模式-抽象工厂</x:v>
      </x:c>
      <x:c r="C30" s="54" t="str">
        <x:v>创建关联的产品族，无需指定具体类</x:v>
      </x:c>
      <x:c r="D30" s="54" t="str">
        <x:v>工厂方法一般单一产品层次</x:v>
      </x:c>
      <x:c r="E30" s="54" t="str">
        <x:v>B</x:v>
      </x:c>
      <x:c r="F30" s="56" t="str">
        <x:v>未开始</x:v>
      </x:c>
    </x:row>
    <x:row r="31" ht="53" customHeight="1">
      <x:c r="A31" s="54" t="str">
        <x:v>软件工程/架构</x:v>
      </x:c>
      <x:c r="B31" s="54" t="str">
        <x:v>设计模式-装饰器</x:v>
      </x:c>
      <x:c r="C31" s="54" t="str">
        <x:v>动态为对象增加职责（审计/缓存）</x:v>
      </x:c>
      <x:c r="D31" s="54" t="str">
        <x:v>与继承不同：组合包装</x:v>
      </x:c>
      <x:c r="E31" s="54" t="str">
        <x:v>B</x:v>
      </x:c>
      <x:c r="F31" s="56" t="str">
        <x:v>未开始</x:v>
      </x:c>
    </x:row>
    <x:row r="32" ht="53" customHeight="1">
      <x:c r="A32" s="54" t="str">
        <x:v>软件工程/架构</x:v>
      </x:c>
      <x:c r="B32" s="54" t="str">
        <x:v>设计模式-单例</x:v>
      </x:c>
      <x:c r="C32" s="54" t="str">
        <x:v>保证特定上下文唯一实例，但须防共享状态与测试问题</x:v>
      </x:c>
      <x:c r="D32" s="54" t="str">
        <x:v>不要滥用全局单例</x:v>
      </x:c>
      <x:c r="E32" s="54" t="str">
        <x:v>B</x:v>
      </x:c>
      <x:c r="F32" s="56" t="str">
        <x:v>未开始</x:v>
      </x:c>
    </x:row>
    <x:row r="33" ht="53" customHeight="1">
      <x:c r="A33" s="54" t="str">
        <x:v>软件工程/架构</x:v>
      </x:c>
      <x:c r="B33" s="54" t="str">
        <x:v>架构权衡</x:v>
      </x:c>
      <x:c r="C33" s="54" t="str">
        <x:v>性能↔一致性、成本↔容灾、安全↔易用、交付↔演进</x:v>
      </x:c>
      <x:c r="D33" s="54" t="str">
        <x:v>写论文必须交代为什么选而不只是选什么</x:v>
      </x:c>
      <x:c r="E33" s="54" t="str">
        <x:v>A</x:v>
      </x:c>
      <x:c r="F33" s="56" t="str">
        <x:v>未开始</x:v>
      </x:c>
    </x:row>
    <x:row r="34" ht="53" customHeight="1">
      <x:c r="A34" s="54" t="str">
        <x:v>数据库/数据治理</x:v>
      </x:c>
      <x:c r="B34" s="54" t="str">
        <x:v>候选键/主键</x:v>
      </x:c>
      <x:c r="C34" s="54" t="str">
        <x:v>候选键最小唯一标识；一个候选键可选作主键</x:v>
      </x:c>
      <x:c r="D34" s="54" t="str">
        <x:v>主键不等于一定自增</x:v>
      </x:c>
      <x:c r="E34" s="54" t="str">
        <x:v>A</x:v>
      </x:c>
      <x:c r="F34" s="56" t="str">
        <x:v>未开始</x:v>
      </x:c>
    </x:row>
    <x:row r="35" ht="53" customHeight="1">
      <x:c r="A35" s="54" t="str">
        <x:v>数据库/数据治理</x:v>
      </x:c>
      <x:c r="B35" s="54" t="str">
        <x:v>1NF</x:v>
      </x:c>
      <x:c r="C35" s="54" t="str">
        <x:v>属性原子化，无重复组</x:v>
      </x:c>
      <x:c r="D35" s="54" t="str">
        <x:v>不能把数组硬塞单字段替代规范化而不论场景</x:v>
      </x:c>
      <x:c r="E35" s="54" t="str">
        <x:v>A</x:v>
      </x:c>
      <x:c r="F35" s="56" t="str">
        <x:v>未开始</x:v>
      </x:c>
    </x:row>
    <x:row r="36" ht="53" customHeight="1">
      <x:c r="A36" s="54" t="str">
        <x:v>数据库/数据治理</x:v>
      </x:c>
      <x:c r="B36" s="54" t="str">
        <x:v>2NF</x:v>
      </x:c>
      <x:c r="C36" s="54" t="str">
        <x:v>在1NF上消除非主属性对候选键的部分函数依赖</x:v>
      </x:c>
      <x:c r="D36" s="54" t="str">
        <x:v>复合键场景尤其注意</x:v>
      </x:c>
      <x:c r="E36" s="54" t="str">
        <x:v>A</x:v>
      </x:c>
      <x:c r="F36" s="56" t="str">
        <x:v>未开始</x:v>
      </x:c>
    </x:row>
    <x:row r="37" ht="53" customHeight="1">
      <x:c r="A37" s="54" t="str">
        <x:v>数据库/数据治理</x:v>
      </x:c>
      <x:c r="B37" s="54" t="str">
        <x:v>3NF</x:v>
      </x:c>
      <x:c r="C37" s="54" t="str">
        <x:v>在2NF基础上消除非主属性经非键属性的传递依赖（简化记忆）</x:v>
      </x:c>
      <x:c r="D37" s="54" t="str">
        <x:v>形式化判定需看候选键及主属性</x:v>
      </x:c>
      <x:c r="E37" s="54" t="str">
        <x:v>A</x:v>
      </x:c>
      <x:c r="F37" s="56" t="str">
        <x:v>未开始</x:v>
      </x:c>
    </x:row>
    <x:row r="38" ht="53" customHeight="1">
      <x:c r="A38" s="54" t="str">
        <x:v>数据库/数据治理</x:v>
      </x:c>
      <x:c r="B38" s="54" t="str">
        <x:v>BCNF</x:v>
      </x:c>
      <x:c r="C38" s="54" t="str">
        <x:v>每个非平凡函数依赖的决定因素都是超键</x:v>
      </x:c>
      <x:c r="D38" s="54" t="str">
        <x:v>比3NF强，分解时关注无损与依赖保持</x:v>
      </x:c>
      <x:c r="E38" s="54" t="str">
        <x:v>B</x:v>
      </x:c>
      <x:c r="F38" s="56" t="str">
        <x:v>未开始</x:v>
      </x:c>
    </x:row>
    <x:row r="39" ht="53" customHeight="1">
      <x:c r="A39" s="54" t="str">
        <x:v>数据库/数据治理</x:v>
      </x:c>
      <x:c r="B39" s="54" t="str">
        <x:v>事务ACID</x:v>
      </x:c>
      <x:c r="C39" s="54" t="str">
        <x:v>原子性、一致性、隔离性、持久性</x:v>
      </x:c>
      <x:c r="D39" s="54" t="str">
        <x:v>I解决并发互扰，D解决提交持久</x:v>
      </x:c>
      <x:c r="E39" s="54" t="str">
        <x:v>A</x:v>
      </x:c>
      <x:c r="F39" s="56" t="str">
        <x:v>未开始</x:v>
      </x:c>
    </x:row>
    <x:row r="40" ht="53" customHeight="1">
      <x:c r="A40" s="54" t="str">
        <x:v>数据库/数据治理</x:v>
      </x:c>
      <x:c r="B40" s="54" t="str">
        <x:v>并发问题</x:v>
      </x:c>
      <x:c r="C40" s="54" t="str">
        <x:v>脏读、不可重复读、幻读；锁/版本/隔离级别权衡</x:v>
      </x:c>
      <x:c r="D40" s="54" t="str">
        <x:v>隔离级别越高通常并发成本越大</x:v>
      </x:c>
      <x:c r="E40" s="54" t="str">
        <x:v>A</x:v>
      </x:c>
      <x:c r="F40" s="56" t="str">
        <x:v>未开始</x:v>
      </x:c>
    </x:row>
    <x:row r="41" ht="53" customHeight="1">
      <x:c r="A41" s="54" t="str">
        <x:v>数据库/数据治理</x:v>
      </x:c>
      <x:c r="B41" s="54" t="str">
        <x:v>SQL四招</x:v>
      </x:c>
      <x:c r="C41" s="54" t="str">
        <x:v>JOIN联表；GROUP BY分组；HAVING筛组；WHERE先筛明细</x:v>
      </x:c>
      <x:c r="D41" s="54" t="str">
        <x:v>HAVING与WHERE不混用</x:v>
      </x:c>
      <x:c r="E41" s="54" t="str">
        <x:v>A</x:v>
      </x:c>
      <x:c r="F41" s="56" t="str">
        <x:v>未开始</x:v>
      </x:c>
    </x:row>
    <x:row r="42" ht="53" customHeight="1">
      <x:c r="A42" s="54" t="str">
        <x:v>数据库/数据治理</x:v>
      </x:c>
      <x:c r="B42" s="54" t="str">
        <x:v>索引</x:v>
      </x:c>
      <x:c r="C42" s="54" t="str">
        <x:v>B+树常用；复合索引选择性/最左前缀；回表/覆盖索引</x:v>
      </x:c>
      <x:c r="D42" s="54" t="str">
        <x:v>越多索引写开销越大</x:v>
      </x:c>
      <x:c r="E42" s="54" t="str">
        <x:v>B</x:v>
      </x:c>
      <x:c r="F42" s="56" t="str">
        <x:v>未开始</x:v>
      </x:c>
    </x:row>
    <x:row r="43" ht="53" customHeight="1">
      <x:c r="A43" s="54" t="str">
        <x:v>数据库/数据治理</x:v>
      </x:c>
      <x:c r="B43" s="54" t="str">
        <x:v>OLTP/OLAP</x:v>
      </x:c>
      <x:c r="C43" s="54" t="str">
        <x:v>OLTP交易低延迟与一致性；OLAP统计分析与多维聚合</x:v>
      </x:c>
      <x:c r="D43" s="54" t="str">
        <x:v>事实表记录度量，维表存维度信息</x:v>
      </x:c>
      <x:c r="E43" s="54" t="str">
        <x:v>B</x:v>
      </x:c>
      <x:c r="F43" s="56" t="str">
        <x:v>未开始</x:v>
      </x:c>
    </x:row>
    <x:row r="44" ht="53" customHeight="1">
      <x:c r="A44" s="54" t="str">
        <x:v>数据库/数据治理</x:v>
      </x:c>
      <x:c r="B44" s="54" t="str">
        <x:v>缓存旁路模式</x:v>
      </x:c>
      <x:c r="C44" s="54" t="str">
        <x:v>读未命中回源并写缓存；修改DB后删除缓存</x:v>
      </x:c>
      <x:c r="D44" s="54" t="str">
        <x:v>仍可能有并发旧值回填，需要策略</x:v>
      </x:c>
      <x:c r="E44" s="54" t="str">
        <x:v>A</x:v>
      </x:c>
      <x:c r="F44" s="56" t="str">
        <x:v>未开始</x:v>
      </x:c>
    </x:row>
    <x:row r="45" ht="53" customHeight="1">
      <x:c r="A45" s="54" t="str">
        <x:v>数据库/数据治理</x:v>
      </x:c>
      <x:c r="B45" s="54" t="str">
        <x:v>分片</x:v>
      </x:c>
      <x:c r="C45" s="54" t="str">
        <x:v>选分片键时平衡查询路径、热点、跨分片事务与扩容</x:v>
      </x:c>
      <x:c r="D45" s="54" t="str">
        <x:v>不是按表大小平均分就足够</x:v>
      </x:c>
      <x:c r="E45" s="54" t="str">
        <x:v>B</x:v>
      </x:c>
      <x:c r="F45" s="56" t="str">
        <x:v>未开始</x:v>
      </x:c>
    </x:row>
    <x:row r="46" ht="53" customHeight="1">
      <x:c r="A46" s="54" t="str">
        <x:v>测试/质量/安全</x:v>
      </x:c>
      <x:c r="B46" s="54" t="str">
        <x:v>静态/动态测试</x:v>
      </x:c>
      <x:c r="C46" s="54" t="str">
        <x:v>静态：评审/静态扫描不执行；动态：执行被测软件</x:v>
      </x:c>
      <x:c r="D46" s="54" t="str">
        <x:v>走查/正式评审属于静态活动</x:v>
      </x:c>
      <x:c r="E46" s="54" t="str">
        <x:v>A</x:v>
      </x:c>
      <x:c r="F46" s="56" t="str">
        <x:v>未开始</x:v>
      </x:c>
    </x:row>
    <x:row r="47" ht="53" customHeight="1">
      <x:c r="A47" s="54" t="str">
        <x:v>测试/质量/安全</x:v>
      </x:c>
      <x:c r="B47" s="54" t="str">
        <x:v>覆盖层级</x:v>
      </x:c>
      <x:c r="C47" s="54" t="str">
        <x:v>语句＜判定（通常更强）等层级，条件/判定组合需分别满足</x:v>
      </x:c>
      <x:c r="D47" s="54" t="str">
        <x:v>100%语句覆盖不意味着无缺陷</x:v>
      </x:c>
      <x:c r="E47" s="54" t="str">
        <x:v>A</x:v>
      </x:c>
      <x:c r="F47" s="56" t="str">
        <x:v>未开始</x:v>
      </x:c>
    </x:row>
    <x:row r="48" ht="53" customHeight="1">
      <x:c r="A48" s="54" t="str">
        <x:v>测试/质量/安全</x:v>
      </x:c>
      <x:c r="B48" s="54" t="str">
        <x:v>黑盒测试设计</x:v>
      </x:c>
      <x:c r="C48" s="54" t="str">
        <x:v>等价类、边界值、判定表、因果图、状态迁移</x:v>
      </x:c>
      <x:c r="D48" s="54" t="str">
        <x:v>业务规则条件组合用判定表</x:v>
      </x:c>
      <x:c r="E48" s="54" t="str">
        <x:v>A</x:v>
      </x:c>
      <x:c r="F48" s="56" t="str">
        <x:v>未开始</x:v>
      </x:c>
    </x:row>
    <x:row r="49" ht="53" customHeight="1">
      <x:c r="A49" s="54" t="str">
        <x:v>测试/质量/安全</x:v>
      </x:c>
      <x:c r="B49" s="54" t="str">
        <x:v>测试金字塔</x:v>
      </x:c>
      <x:c r="C49" s="54" t="str">
        <x:v>以稳定单测为基础，适量集成/端到端；按项目权衡</x:v>
      </x:c>
      <x:c r="D49" s="54" t="str">
        <x:v>不是绝对比例法则</x:v>
      </x:c>
      <x:c r="E49" s="54" t="str">
        <x:v>B</x:v>
      </x:c>
      <x:c r="F49" s="56" t="str">
        <x:v>未开始</x:v>
      </x:c>
    </x:row>
    <x:row r="50" ht="53" customHeight="1">
      <x:c r="A50" s="54" t="str">
        <x:v>测试/质量/安全</x:v>
      </x:c>
      <x:c r="B50" s="54" t="str">
        <x:v>回归测试</x:v>
      </x:c>
      <x:c r="C50" s="54" t="str">
        <x:v>每次修复/变更后复核原有业务是否被破坏</x:v>
      </x:c>
      <x:c r="D50" s="54" t="str">
        <x:v>最好选风险驱动的自动化回归集</x:v>
      </x:c>
      <x:c r="E50" s="54" t="str">
        <x:v>A</x:v>
      </x:c>
      <x:c r="F50" s="56" t="str">
        <x:v>未开始</x:v>
      </x:c>
    </x:row>
    <x:row r="51" ht="53" customHeight="1">
      <x:c r="A51" s="54" t="str">
        <x:v>测试/质量/安全</x:v>
      </x:c>
      <x:c r="B51" s="54" t="str">
        <x:v>性能指标</x:v>
      </x:c>
      <x:c r="C51" s="54" t="str">
        <x:v>吞吐、P95/P99延迟、错误率、资源利用、饱和度</x:v>
      </x:c>
      <x:c r="D51" s="54" t="str">
        <x:v>P95不是平均值</x:v>
      </x:c>
      <x:c r="E51" s="54" t="str">
        <x:v>A</x:v>
      </x:c>
      <x:c r="F51" s="56" t="str">
        <x:v>未开始</x:v>
      </x:c>
    </x:row>
    <x:row r="52" ht="53" customHeight="1">
      <x:c r="A52" s="54" t="str">
        <x:v>测试/质量/安全</x:v>
      </x:c>
      <x:c r="B52" s="54" t="str">
        <x:v>SQA/QC</x:v>
      </x:c>
      <x:c r="C52" s="54" t="str">
        <x:v>SQA强调过程与预防；QC侧重结果检查和验证</x:v>
      </x:c>
      <x:c r="D52" s="54" t="str">
        <x:v>质量控制不等于只有测试</x:v>
      </x:c>
      <x:c r="E52" s="54" t="str">
        <x:v>A</x:v>
      </x:c>
      <x:c r="F52" s="56" t="str">
        <x:v>未开始</x:v>
      </x:c>
    </x:row>
    <x:row r="53" ht="53" customHeight="1">
      <x:c r="A53" s="54" t="str">
        <x:v>测试/质量/安全</x:v>
      </x:c>
      <x:c r="B53" s="54" t="str">
        <x:v>LLM辅助测试</x:v>
      </x:c>
      <x:c r="C53" s="54" t="str">
        <x:v>自动生成用例/断言草案/数据变种；加人工审核与执行验证</x:v>
      </x:c>
      <x:c r="D53" s="54" t="str">
        <x:v>注意幻觉、隐私泄露和不可重复</x:v>
      </x:c>
      <x:c r="E53" s="54" t="str">
        <x:v>A</x:v>
      </x:c>
      <x:c r="F53" s="56" t="str">
        <x:v>未开始</x:v>
      </x:c>
    </x:row>
    <x:row r="54" ht="53" customHeight="1">
      <x:c r="A54" s="54" t="str">
        <x:v>测试/质量/安全</x:v>
      </x:c>
      <x:c r="B54" s="54" t="str">
        <x:v>数据安全</x:v>
      </x:c>
      <x:c r="C54" s="54" t="str">
        <x:v>分类分级、最小必要、脱敏、加密、授权、审计和删除策略</x:v>
      </x:c>
      <x:c r="D54" s="54" t="str">
        <x:v>不能只靠HTTPS解决存储安全</x:v>
      </x:c>
      <x:c r="E54" s="54" t="str">
        <x:v>A</x:v>
      </x:c>
      <x:c r="F54" s="56" t="str">
        <x:v>未开始</x:v>
      </x:c>
    </x:row>
    <x:row r="55" ht="53" customHeight="1">
      <x:c r="A55" s="54" t="str">
        <x:v>测试/质量/安全</x:v>
      </x:c>
      <x:c r="B55" s="54" t="str">
        <x:v>AES/RSA/哈希</x:v>
      </x:c>
      <x:c r="C55" s="54" t="str">
        <x:v>AES对称数据加密；RSA/ECC非对称；哈希不可逆摘要</x:v>
      </x:c>
      <x:c r="D55" s="54" t="str">
        <x:v>Base64不是加密</x:v>
      </x:c>
      <x:c r="E55" s="54" t="str">
        <x:v>A</x:v>
      </x:c>
      <x:c r="F55" s="56" t="str">
        <x:v>未开始</x:v>
      </x:c>
    </x:row>
    <x:row r="56" ht="53" customHeight="1">
      <x:c r="A56" s="54" t="str">
        <x:v>测试/质量/安全</x:v>
      </x:c>
      <x:c r="B56" s="54" t="str">
        <x:v>授权RBAC/ABAC</x:v>
      </x:c>
      <x:c r="C56" s="54" t="str">
        <x:v>RBAC按角色授予；ABAC按主体/资源/环境属性判断</x:v>
      </x:c>
      <x:c r="D56" s="54" t="str">
        <x:v>OAuth2主要是授权框架</x:v>
      </x:c>
      <x:c r="E56" s="54" t="str">
        <x:v>A</x:v>
      </x:c>
      <x:c r="F56" s="56" t="str">
        <x:v>未开始</x:v>
      </x:c>
    </x:row>
    <x:row r="57" ht="53" customHeight="1">
      <x:c r="A57" s="54" t="str">
        <x:v>测试/质量/安全</x:v>
      </x:c>
      <x:c r="B57" s="54" t="str">
        <x:v>最小权限</x:v>
      </x:c>
      <x:c r="C57" s="54" t="str">
        <x:v>最小角色和工具范围、按需授权、到期回收</x:v>
      </x:c>
      <x:c r="D57" s="54" t="str">
        <x:v>AI Agent调用工具也需鉴权</x:v>
      </x:c>
      <x:c r="E57" s="54" t="str">
        <x:v>A</x:v>
      </x:c>
      <x:c r="F57" s="56" t="str">
        <x:v>未开始</x:v>
      </x:c>
    </x:row>
    <x:row r="58" ht="53" customHeight="1">
      <x:c r="A58" s="54" t="str">
        <x:v>测试/质量/安全</x:v>
      </x:c>
      <x:c r="B58" s="54" t="str">
        <x:v>RPO/RTO</x:v>
      </x:c>
      <x:c r="C58" s="54" t="str">
        <x:v>RPO容忍数据损失时间窗口；RTO容忍恢复耗时</x:v>
      </x:c>
      <x:c r="D58" s="54" t="str">
        <x:v>背公式不如举“15分钟/2小时”例子</x:v>
      </x:c>
      <x:c r="E58" s="54" t="str">
        <x:v>A</x:v>
      </x:c>
      <x:c r="F58" s="56" t="str">
        <x:v>未开始</x:v>
      </x:c>
    </x:row>
    <x:row r="59" ht="53" customHeight="1">
      <x:c r="A59" s="54" t="str">
        <x:v>测试/质量/安全</x:v>
      </x:c>
      <x:c r="B59" s="54" t="str">
        <x:v>备份演练</x:v>
      </x:c>
      <x:c r="C59" s="54" t="str">
        <x:v>不可变/隔离备份、恢复测试、切换回切步骤</x:v>
      </x:c>
      <x:c r="D59" s="54" t="str">
        <x:v>备份成功不代表恢复成功</x:v>
      </x:c>
      <x:c r="E59" s="54" t="str">
        <x:v>A</x:v>
      </x:c>
      <x:c r="F59" s="56" t="str">
        <x:v>未开始</x:v>
      </x:c>
    </x:row>
    <x:row r="60" ht="53" customHeight="1">
      <x:c r="A60" s="54" t="str">
        <x:v>网络/分布式/云原生</x:v>
      </x:c>
      <x:c r="B60" s="54" t="str">
        <x:v>TCP/UDP</x:v>
      </x:c>
      <x:c r="C60" s="54" t="str">
        <x:v>TCP可靠有序字节流；UDP报文无内建可靠性</x:v>
      </x:c>
      <x:c r="D60" s="54" t="str">
        <x:v>UDP并非一定“低延迟”到应用整体</x:v>
      </x:c>
      <x:c r="E60" s="54" t="str">
        <x:v>B</x:v>
      </x:c>
      <x:c r="F60" s="56" t="str">
        <x:v>未开始</x:v>
      </x:c>
    </x:row>
    <x:row r="61" ht="53" customHeight="1">
      <x:c r="A61" s="54" t="str">
        <x:v>网络/分布式/云原生</x:v>
      </x:c>
      <x:c r="B61" s="54" t="str">
        <x:v>TLS/HTTPS</x:v>
      </x:c>
      <x:c r="C61" s="54" t="str">
        <x:v>提供传输加密、完整性、服务端认证等</x:v>
      </x:c>
      <x:c r="D61" s="54" t="str">
        <x:v>不代替应用权限管理</x:v>
      </x:c>
      <x:c r="E61" s="54" t="str">
        <x:v>A</x:v>
      </x:c>
      <x:c r="F61" s="56" t="str">
        <x:v>未开始</x:v>
      </x:c>
    </x:row>
    <x:row r="62" ht="53" customHeight="1">
      <x:c r="A62" s="54" t="str">
        <x:v>网络/分布式/云原生</x:v>
      </x:c>
      <x:c r="B62" s="54" t="str">
        <x:v>负载均衡</x:v>
      </x:c>
      <x:c r="C62" s="54" t="str">
        <x:v>健康检查、无状态实例、连接策略与故障转移</x:v>
      </x:c>
      <x:c r="D62" s="54" t="str">
        <x:v>只加负载均衡不能解决数据库瓶颈</x:v>
      </x:c>
      <x:c r="E62" s="54" t="str">
        <x:v>A</x:v>
      </x:c>
      <x:c r="F62" s="56" t="str">
        <x:v>未开始</x:v>
      </x:c>
    </x:row>
    <x:row r="63" ht="53" customHeight="1">
      <x:c r="A63" s="54" t="str">
        <x:v>网络/分布式/云原生</x:v>
      </x:c>
      <x:c r="B63" s="54" t="str">
        <x:v>熔断/限流/降级</x:v>
      </x:c>
      <x:c r="C63" s="54" t="str">
        <x:v>熔断阻止故障蔓延，限流保护容量，降级保核心功能</x:v>
      </x:c>
      <x:c r="D63" s="54" t="str">
        <x:v>重试要设置次数/退避并避免重试风暴</x:v>
      </x:c>
      <x:c r="E63" s="54" t="str">
        <x:v>A</x:v>
      </x:c>
      <x:c r="F63" s="56" t="str">
        <x:v>未开始</x:v>
      </x:c>
    </x:row>
    <x:row r="64" ht="53" customHeight="1">
      <x:c r="A64" s="54" t="str">
        <x:v>网络/分布式/云原生</x:v>
      </x:c>
      <x:c r="B64" s="54" t="str">
        <x:v>CAP</x:v>
      </x:c>
      <x:c r="C64" s="54" t="str">
        <x:v>网络分区存在时对强一致性和可用性做权衡</x:v>
      </x:c>
      <x:c r="D64" s="54" t="str">
        <x:v>不是任何时刻只能选两种属性</x:v>
      </x:c>
      <x:c r="E64" s="54" t="str">
        <x:v>A</x:v>
      </x:c>
      <x:c r="F64" s="56" t="str">
        <x:v>未开始</x:v>
      </x:c>
    </x:row>
    <x:row r="65" ht="53" customHeight="1">
      <x:c r="A65" s="54" t="str">
        <x:v>网络/分布式/云原生</x:v>
      </x:c>
      <x:c r="B65" s="54" t="str">
        <x:v>幂等/重复投递</x:v>
      </x:c>
      <x:c r="C65" s="54" t="str">
        <x:v>业务唯一键、幂等记录、原子状态转移；消息重复可安全处理</x:v>
      </x:c>
      <x:c r="D65" s="54" t="str">
        <x:v>付款不能因重试重复扣费</x:v>
      </x:c>
      <x:c r="E65" s="54" t="str">
        <x:v>A</x:v>
      </x:c>
      <x:c r="F65" s="56" t="str">
        <x:v>未开始</x:v>
      </x:c>
    </x:row>
    <x:row r="66" ht="53" customHeight="1">
      <x:c r="A66" s="54" t="str">
        <x:v>网络/分布式/云原生</x:v>
      </x:c>
      <x:c r="B66" s="54" t="str">
        <x:v>最终一致性</x:v>
      </x:c>
      <x:c r="C66" s="54" t="str">
        <x:v>可暂时不一致，最终各副本收敛；补偿事务处理跨服务业务</x:v>
      </x:c>
      <x:c r="D66" s="54" t="str">
        <x:v>写论文需讲一致性范围和时效</x:v>
      </x:c>
      <x:c r="E66" s="54" t="str">
        <x:v>A</x:v>
      </x:c>
      <x:c r="F66" s="56" t="str">
        <x:v>未开始</x:v>
      </x:c>
    </x:row>
    <x:row r="67" ht="53" customHeight="1">
      <x:c r="A67" s="54" t="str">
        <x:v>网络/分布式/云原生</x:v>
      </x:c>
      <x:c r="B67" s="54" t="str">
        <x:v>可用性计算</x:v>
      </x:c>
      <x:c r="C67" s="54" t="str">
        <x:v>月中断≈时长×(1-可用性)；30天99.9%≈43.2分钟</x:v>
      </x:c>
      <x:c r="D67" s="54" t="str">
        <x:v>小数点位置容易错</x:v>
      </x:c>
      <x:c r="E67" s="54" t="str">
        <x:v>A</x:v>
      </x:c>
      <x:c r="F67" s="56" t="str">
        <x:v>未开始</x:v>
      </x:c>
    </x:row>
    <x:row r="68" ht="53" customHeight="1">
      <x:c r="A68" s="54" t="str">
        <x:v>网络/分布式/云原生</x:v>
      </x:c>
      <x:c r="B68" s="54" t="str">
        <x:v>可观测性</x:v>
      </x:c>
      <x:c r="C68" s="54" t="str">
        <x:v>日志、指标、链路追踪；指标关注四个黄金信号</x:v>
      </x:c>
      <x:c r="D68" s="54" t="str">
        <x:v>只写“加监控”不构成方案</x:v>
      </x:c>
      <x:c r="E68" s="54" t="str">
        <x:v>A</x:v>
      </x:c>
      <x:c r="F68" s="56" t="str">
        <x:v>未开始</x:v>
      </x:c>
    </x:row>
    <x:row r="69" ht="53" customHeight="1">
      <x:c r="A69" s="54" t="str">
        <x:v>网络/分布式/云原生</x:v>
      </x:c>
      <x:c r="B69" s="54" t="str">
        <x:v>容器与K8s</x:v>
      </x:c>
      <x:c r="C69" s="54" t="str">
        <x:v>容器共享内核隔离，K8s Deployment管理副本，探针管理状态</x:v>
      </x:c>
      <x:c r="D69" s="54" t="str">
        <x:v>就绪探针不同于存活探针</x:v>
      </x:c>
      <x:c r="E69" s="54" t="str">
        <x:v>B</x:v>
      </x:c>
      <x:c r="F69" s="56" t="str">
        <x:v>未开始</x:v>
      </x:c>
    </x:row>
    <x:row r="70" ht="53" customHeight="1">
      <x:c r="A70" s="54" t="str">
        <x:v>网络/分布式/云原生</x:v>
      </x:c>
      <x:c r="B70" s="54" t="str">
        <x:v>蓝绿/灰度</x:v>
      </x:c>
      <x:c r="C70" s="54" t="str">
        <x:v>蓝绿切换环境；灰度分批放量；配合监控与自动回滚</x:v>
      </x:c>
      <x:c r="D70" s="54" t="str">
        <x:v>两者都要确认数据库兼容</x:v>
      </x:c>
      <x:c r="E70" s="54" t="str">
        <x:v>B</x:v>
      </x:c>
      <x:c r="F70" s="56" t="str">
        <x:v>未开始</x:v>
      </x:c>
    </x:row>
    <x:row r="71" ht="53" customHeight="1">
      <x:c r="A71" s="54" t="str">
        <x:v>网络/分布式/云原生</x:v>
      </x:c>
      <x:c r="B71" s="54" t="str">
        <x:v>RAG与向量检索</x:v>
      </x:c>
      <x:c r="C71" s="54" t="str">
        <x:v>先检索有权限的知识，再作为上下文生成；评估召回率和准确率</x:v>
      </x:c>
      <x:c r="D71" s="54" t="str">
        <x:v>RAG不能保证零幻觉</x:v>
      </x:c>
      <x:c r="E71" s="54" t="str">
        <x:v>B</x:v>
      </x:c>
      <x:c r="F71" s="56" t="str">
        <x:v>未开始</x:v>
      </x:c>
    </x:row>
    <x:row r="72" ht="53" customHeight="1">
      <x:c r="A72" s="54" t="str">
        <x:v>网络/分布式/云原生</x:v>
      </x:c>
      <x:c r="B72" s="54" t="str">
        <x:v>Agent安全</x:v>
      </x:c>
      <x:c r="C72" s="54" t="str">
        <x:v>工具白名单、最小权限、敏感操作确认、审计，防提示注入</x:v>
      </x:c>
      <x:c r="D72" s="54" t="str">
        <x:v>外部文档不能直接视为指令</x:v>
      </x:c>
      <x:c r="E72" s="54" t="str">
        <x:v>A</x:v>
      </x:c>
      <x:c r="F72" s="56" t="str">
        <x:v>未开始</x:v>
      </x:c>
    </x:row>
    <x:row r="73" ht="53" customHeight="1">
      <x:c r="A73" s="54" t="str">
        <x:v>工程管理/计算/英语</x:v>
      </x:c>
      <x:c r="B73" s="54" t="str">
        <x:v>NPV/PV</x:v>
      </x:c>
      <x:c r="C73" s="54" t="str">
        <x:v>PV=FV/(1+r)^n；NPV=折现流入现值-初始/后续投入现值</x:v>
      </x:c>
      <x:c r="D73" s="54" t="str">
        <x:v>正NPV只是经济可行的一个条件</x:v>
      </x:c>
      <x:c r="E73" s="54" t="str">
        <x:v>A</x:v>
      </x:c>
      <x:c r="F73" s="56" t="str">
        <x:v>未开始</x:v>
      </x:c>
    </x:row>
    <x:row r="74" ht="53" customHeight="1">
      <x:c r="A74" s="54" t="str">
        <x:v>工程管理/计算/英语</x:v>
      </x:c>
      <x:c r="B74" s="54" t="str">
        <x:v>EMV</x:v>
      </x:c>
      <x:c r="C74" s="54" t="str">
        <x:v>期望货币价值=概率×结果金额，独立风险合计</x:v>
      </x:c>
      <x:c r="D74" s="54" t="str">
        <x:v>算完要区分正收益与负损失</x:v>
      </x:c>
      <x:c r="E74" s="54" t="str">
        <x:v>A</x:v>
      </x:c>
      <x:c r="F74" s="56" t="str">
        <x:v>未开始</x:v>
      </x:c>
    </x:row>
    <x:row r="75" ht="53" customHeight="1">
      <x:c r="A75" s="54" t="str">
        <x:v>工程管理/计算/英语</x:v>
      </x:c>
      <x:c r="B75" s="54" t="str">
        <x:v>EVM</x:v>
      </x:c>
      <x:c r="C75" s="54" t="str">
        <x:v>CV=EV-AC；SV=EV-PV；CPI=EV/AC；SPI=EV/PV</x:v>
      </x:c>
      <x:c r="D75" s="54" t="str">
        <x:v>CV&lt;0超成本，SPI&lt;1进度落后</x:v>
      </x:c>
      <x:c r="E75" s="54" t="str">
        <x:v>A</x:v>
      </x:c>
      <x:c r="F75" s="56" t="str">
        <x:v>未开始</x:v>
      </x:c>
    </x:row>
    <x:row r="76" ht="53" customHeight="1">
      <x:c r="A76" s="54" t="str">
        <x:v>工程管理/计算/英语</x:v>
      </x:c>
      <x:c r="B76" s="54" t="str">
        <x:v>关键路径</x:v>
      </x:c>
      <x:c r="C76" s="54" t="str">
        <x:v>活动网络最长持续路径决定最短工期；关键路径活动总时差通常为0</x:v>
      </x:c>
      <x:c r="D76" s="54" t="str">
        <x:v>求时间不是求边权最短路</x:v>
      </x:c>
      <x:c r="E76" s="54" t="str">
        <x:v>B</x:v>
      </x:c>
      <x:c r="F76" s="56" t="str">
        <x:v>未开始</x:v>
      </x:c>
    </x:row>
    <x:row r="77" ht="53" customHeight="1">
      <x:c r="A77" s="54" t="str">
        <x:v>工程管理/计算/英语</x:v>
      </x:c>
      <x:c r="B77" s="54" t="str">
        <x:v>Dijkstra/MST</x:v>
      </x:c>
      <x:c r="C77" s="54" t="str">
        <x:v>Dijkstra非负权单源最短路；Prim/Kruskal连通全网边权和最小</x:v>
      </x:c>
      <x:c r="D77" s="54" t="str">
        <x:v>图论文字题先识别需求</x:v>
      </x:c>
      <x:c r="E77" s="54" t="str">
        <x:v>B</x:v>
      </x:c>
      <x:c r="F77" s="56" t="str">
        <x:v>未开始</x:v>
      </x:c>
    </x:row>
    <x:row r="78" ht="53" customHeight="1">
      <x:c r="A78" s="54" t="str">
        <x:v>工程管理/计算/英语</x:v>
      </x:c>
      <x:c r="B78" s="54" t="str">
        <x:v>SLA/MTTR</x:v>
      </x:c>
      <x:c r="C78" s="54" t="str">
        <x:v>SLA定义服务等级；MTTR平均修复/恢复时间</x:v>
      </x:c>
      <x:c r="D78" s="54" t="str">
        <x:v>指标需定义测量期和计算口径</x:v>
      </x:c>
      <x:c r="E78" s="54" t="str">
        <x:v>B</x:v>
      </x:c>
      <x:c r="F78" s="56" t="str">
        <x:v>未开始</x:v>
      </x:c>
    </x:row>
    <x:row r="79" ht="53" customHeight="1">
      <x:c r="A79" s="54" t="str">
        <x:v>工程管理/计算/英语</x:v>
      </x:c>
      <x:c r="B79" s="54" t="str">
        <x:v>BPR/价值链</x:v>
      </x:c>
      <x:c r="C79" s="54" t="str">
        <x:v>BPR重构端到端流程；价值链找竞争优势活动</x:v>
      </x:c>
      <x:c r="D79" s="54" t="str">
        <x:v>流程自动化不等于流程再造</x:v>
      </x:c>
      <x:c r="E79" s="54" t="str">
        <x:v>B</x:v>
      </x:c>
      <x:c r="F79" s="56" t="str">
        <x:v>未开始</x:v>
      </x:c>
    </x:row>
    <x:row r="80" ht="53" customHeight="1">
      <x:c r="A80" s="54" t="str">
        <x:v>工程管理/计算/英语</x:v>
      </x:c>
      <x:c r="B80" s="54" t="str">
        <x:v>常见工程英语</x:v>
      </x:c>
      <x:c r="C80" s="54" t="str">
        <x:v>stakeholder利益相关方；trade-off权衡；acceptance criteria验收标准；baseline基线</x:v>
      </x:c>
      <x:c r="D80" s="54" t="str">
        <x:v>英文题优先定位关键词再看选项</x:v>
      </x:c>
      <x:c r="E80" s="54" t="str">
        <x:v>B</x:v>
      </x:c>
      <x:c r="F80" s="56" t="str">
        <x:v>未开始</x:v>
      </x:c>
    </x:row>
  </x:sheetData>
  <x:mergeCells>
    <x:mergeCell ref="A1:F1"/>
    <x:mergeCell ref="A2:F2"/>
  </x:mergeCells>
  <x:conditionalFormatting sqref="E5:E80">
    <x:cfRule type="expression" dxfId="4" priority="1">
      <x:formula>$E5="A"</x:formula>
    </x:cfRule>
  </x:conditionalFormatting>
  <x:dataValidations count="1">
    <x:dataValidation type="list" sqref="F5:F80">
      <x:formula1>"未开始,复习中,已掌握"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1" hidden="0" customWidth="1"/>
    <x:col min="4" max="4" width="39" hidden="0" customWidth="1"/>
    <x:col min="5" max="5" width="100" hidden="0" customWidth="1"/>
    <x:col min="6" max="6" width="18" hidden="0" customWidth="1"/>
    <x:col min="7" max="7" width="15" hidden="0" customWidth="1"/>
    <x:col min="8" max="8" width="50" hidden="0" customWidth="1"/>
  </x:cols>
  <x:sheetData>
    <x:row r="1" ht="34" customHeight="1">
      <x:c r="A1" s="4" t="str">
        <x:v>案例分析｜9套原创情境题</x:v>
      </x:c>
      <x:c r="B1" s="4"/>
      <x:c r="C1" s="4"/>
      <x:c r="D1" s="4"/>
      <x:c r="E1" s="4"/>
      <x:c r="F1" s="4"/>
      <x:c r="G1" s="4"/>
      <x:c r="H1" s="4"/>
    </x:row>
    <x:row r="2" ht="25" customHeight="1">
      <x:c r="A2" s="11" t="str">
        <x:v>每套25分，三问练法：先抽分点，再答方案；标准答案与具体题目详见Word冲刺手册</x:v>
      </x:c>
      <x:c r="B2" s="11"/>
      <x:c r="C2" s="11"/>
      <x:c r="D2" s="11"/>
      <x:c r="E2" s="11"/>
      <x:c r="F2" s="11"/>
      <x:c r="G2" s="11"/>
      <x:c r="H2" s="11"/>
    </x:row>
    <x:row r="3">
      <x:c r="A3" t="str"/>
    </x:row>
    <x:row r="4" ht="29" customHeight="1">
      <x:c r="A4" s="46" t="str">
        <x:v>题号</x:v>
      </x:c>
      <x:c r="B4" s="46" t="str">
        <x:v>领域</x:v>
      </x:c>
      <x:c r="C4" s="46" t="str">
        <x:v>优先级</x:v>
      </x:c>
      <x:c r="D4" s="46" t="str">
        <x:v>案例标题</x:v>
      </x:c>
      <x:c r="E4" s="46" t="str">
        <x:v>主要考核能力</x:v>
      </x:c>
      <x:c r="F4" s="46" t="str">
        <x:v>答题时间建议</x:v>
      </x:c>
      <x:c r="G4" s="46" t="str">
        <x:v>自评/25</x:v>
      </x:c>
      <x:c r="H4" s="46" t="str">
        <x:v>复盘备注</x:v>
      </x:c>
    </x:row>
    <x:row r="5" ht="54" customHeight="1">
      <x:c r="A5" s="54" t="str">
        <x:v>C01</x:v>
      </x:c>
      <x:c r="B5" s="54" t="str">
        <x:v>需求/UML</x:v>
      </x:c>
      <x:c r="C5" s="54" t="str">
        <x:v>A</x:v>
      </x:c>
      <x:c r="D5" s="54" t="str">
        <x:v>AI线索平台用例与顺序图</x:v>
      </x:c>
      <x:c r="E5" s="54" t="str">
        <x:v>识别3个参与者、5个关键用例；说明“线索入库”和“线索去重”应采用何种用例关系。；写出“提交表单→去重→分派→通知”的顺序图文字消息序列；提出4条可测量的非功能需求并说明如何建立需求追踪。</x:v>
      </x:c>
      <x:c r="F5" s="54" t="str">
        <x:v>25-30分钟</x:v>
      </x:c>
      <x:c r="G5" s="58"/>
      <x:c r="H5" s="58" t="str"/>
    </x:row>
    <x:row r="6" ht="54" customHeight="1">
      <x:c r="A6" s="54" t="str">
        <x:v>C02</x:v>
      </x:c>
      <x:c r="B6" s="54" t="str">
        <x:v>DFD/系统分析</x:v>
      </x:c>
      <x:c r="C6" s="54" t="str">
        <x:v>A</x:v>
      </x:c>
      <x:c r="D6" s="54" t="str">
        <x:v>线索流转系统数据流图平衡</x:v>
      </x:c>
      <x:c r="E6" s="54" t="str">
        <x:v>写出0层DFD的外部实体、加工、数据存储、数据流各至少一个。；说明分解图必须遵守的数据流平衡规则；指出“渠道直接写入线索库”“线索库直接输出到销售系统”的建模问题</x:v>
      </x:c>
      <x:c r="F6" s="54" t="str">
        <x:v>25-30分钟</x:v>
      </x:c>
      <x:c r="G6" s="58"/>
      <x:c r="H6" s="58" t="str"/>
    </x:row>
    <x:row r="7" ht="54" customHeight="1">
      <x:c r="A7" s="54" t="str">
        <x:v>C03</x:v>
      </x:c>
      <x:c r="B7" s="54" t="str">
        <x:v>数据库设计</x:v>
      </x:c>
      <x:c r="C7" s="54" t="str">
        <x:v>A</x:v>
      </x:c>
      <x:c r="D7" s="54" t="str">
        <x:v>客户订单数据库范式与SQL</x:v>
      </x:c>
      <x:c r="E7" s="54" t="str">
        <x:v>指出原表的主要部分依赖、传递依赖与更新异常。；分解出至少4张合理的关系表；给出按客户求订单销售额的SQL骨架</x:v>
      </x:c>
      <x:c r="F7" s="54" t="str">
        <x:v>25-30分钟</x:v>
      </x:c>
      <x:c r="G7" s="58"/>
      <x:c r="H7" s="58" t="str"/>
    </x:row>
    <x:row r="8" ht="54" customHeight="1">
      <x:c r="A8" s="54" t="str">
        <x:v>C04</x:v>
      </x:c>
      <x:c r="B8" s="54" t="str">
        <x:v>架构/分布式</x:v>
      </x:c>
      <x:c r="C8" s="54" t="str">
        <x:v>A</x:v>
      </x:c>
      <x:c r="D8" s="54" t="str">
        <x:v>限流、缓存和消息可靠性方案</x:v>
      </x:c>
      <x:c r="E8" s="54" t="str">
        <x:v>给出分层与关键组件方案；针对消息至少一次投递和并发重复提交；提出4个可观测指标/告警及故障降级、回滚方案。</x:v>
      </x:c>
      <x:c r="F8" s="54" t="str">
        <x:v>25-30分钟</x:v>
      </x:c>
      <x:c r="G8" s="58"/>
      <x:c r="H8" s="58" t="str"/>
    </x:row>
    <x:row r="9" ht="54" customHeight="1">
      <x:c r="A9" s="54" t="str">
        <x:v>C05</x:v>
      </x:c>
      <x:c r="B9" s="54" t="str">
        <x:v>质量测试/LLM</x:v>
      </x:c>
      <x:c r="C9" s="54" t="str">
        <x:v>A</x:v>
      </x:c>
      <x:c r="D9" s="54" t="str">
        <x:v>AI辅助软件测试与质量保证</x:v>
      </x:c>
      <x:c r="E9" s="54" t="str">
        <x:v>如何把需求、等价类、边界值和判定表结合；给出LLM生成用例的闭环控制；设计3个量化指标与安全控制措施。</x:v>
      </x:c>
      <x:c r="F9" s="54" t="str">
        <x:v>25-30分钟</x:v>
      </x:c>
      <x:c r="G9" s="58"/>
      <x:c r="H9" s="58" t="str"/>
    </x:row>
    <x:row r="10" ht="54" customHeight="1">
      <x:c r="A10" s="54" t="str">
        <x:v>C06</x:v>
      </x:c>
      <x:c r="B10" s="54" t="str">
        <x:v>安全/容灾</x:v>
      </x:c>
      <x:c r="C10" s="54" t="str">
        <x:v>A</x:v>
      </x:c>
      <x:c r="D10" s="54" t="str">
        <x:v>多租户CRM数据隔离与业务连续性</x:v>
      </x:c>
      <x:c r="E10" s="54" t="str">
        <x:v>提出覆盖应用、数据库与审计的多租户隔离和权限控制方案。；区分RPO/RTO并给出备份和灾备切换方案。；设计数据保护及测试验证检查项。</x:v>
      </x:c>
      <x:c r="F10" s="54" t="str">
        <x:v>25-30分钟</x:v>
      </x:c>
      <x:c r="G10" s="58"/>
      <x:c r="H10" s="58" t="str"/>
    </x:row>
    <x:row r="11" ht="54" customHeight="1">
      <x:c r="A11" s="54" t="str">
        <x:v>C07</x:v>
      </x:c>
      <x:c r="B11" s="54" t="str">
        <x:v>投资与工程数学</x:v>
      </x:c>
      <x:c r="C11" s="54" t="str">
        <x:v>B</x:v>
      </x:c>
      <x:c r="D11" s="54" t="str">
        <x:v>智能客服项目成本收益和风险决策</x:v>
      </x:c>
      <x:c r="E11" s="54" t="str">
        <x:v>计算项目收益净现值NPV（不考虑风险时）。；计算两项风险的期望损失；说明投资评估时还应考虑的4类非财务因素与一个敏感性分析方案。</x:v>
      </x:c>
      <x:c r="F11" s="54" t="str">
        <x:v>25-30分钟</x:v>
      </x:c>
      <x:c r="G11" s="58"/>
      <x:c r="H11" s="58" t="str"/>
    </x:row>
    <x:row r="12" ht="54" customHeight="1">
      <x:c r="A12" s="54" t="str">
        <x:v>C08</x:v>
      </x:c>
      <x:c r="B12" s="54" t="str">
        <x:v>嵌入式/边缘系统</x:v>
      </x:c>
      <x:c r="C12" s="54" t="str">
        <x:v>B</x:v>
      </x:c>
      <x:c r="D12" s="54" t="str">
        <x:v>边缘人脸识别终端操作系统选型</x:v>
      </x:c>
      <x:c r="E12" s="54" t="str">
        <x:v>对比RTOS与Linux在硬实时确定性、生态、内存和调试维护方面的取舍。；提出“边缘实时控制+云端识别或同步”的模块划分与故障处理。；如何做硬件选型及功耗/安全/响应时限验收？</x:v>
      </x:c>
      <x:c r="F12" s="54" t="str">
        <x:v>25-30分钟</x:v>
      </x:c>
      <x:c r="G12" s="58"/>
      <x:c r="H12" s="58" t="str"/>
    </x:row>
    <x:row r="13" ht="54" customHeight="1">
      <x:c r="A13" s="54" t="str">
        <x:v>C09</x:v>
      </x:c>
      <x:c r="B13" s="54" t="str">
        <x:v>AI Agent/系统集成</x:v>
      </x:c>
      <x:c r="C13" s="54" t="str">
        <x:v>B</x:v>
      </x:c>
      <x:c r="D13" s="54" t="str">
        <x:v>企业知识智能体架构与风控</x:v>
      </x:c>
      <x:c r="E13" s="54" t="str">
        <x:v>设计知识采集、权限检索、生成和CRM工具调用的主要模块及数据流。；说明至少3个风险及对应技术/流程缓解措施。；提出可在验收阶段执行的指标及测试集构成。</x:v>
      </x:c>
      <x:c r="F13" s="54" t="str">
        <x:v>25-30分钟</x:v>
      </x:c>
      <x:c r="G13" s="58"/>
      <x:c r="H13" s="5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2" hidden="0" customWidth="1"/>
    <x:col min="4" max="4" width="100" hidden="0" customWidth="1"/>
    <x:col min="5" max="5" width="90" hidden="0" customWidth="1"/>
    <x:col min="6" max="6" width="65" hidden="0" customWidth="1"/>
    <x:col min="7" max="7" width="17" hidden="0" customWidth="1"/>
    <x:col min="8" max="8" width="17" hidden="0" customWidth="1"/>
    <x:col min="9" max="9" width="16" hidden="0" customWidth="1"/>
  </x:cols>
  <x:sheetData>
    <x:row r="1" ht="34" customHeight="1">
      <x:c r="A1" s="4" t="str">
        <x:v>论文训练｜10个高价值主题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11" t="str">
        <x:v>必须基于本人真实参加的项目写作；D列给的是写作主线而非可直接照抄的虚构事实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t="str"/>
    </x:row>
    <x:row r="4" ht="29" customHeight="1">
      <x:c r="A4" s="46" t="str">
        <x:v>题号</x:v>
      </x:c>
      <x:c r="B4" s="46" t="str">
        <x:v>主题</x:v>
      </x:c>
      <x:c r="C4" s="46" t="str">
        <x:v>优先级</x:v>
      </x:c>
      <x:c r="D4" s="46" t="str">
        <x:v>论文骨架</x:v>
      </x:c>
      <x:c r="E4" s="46" t="str">
        <x:v>可用项目场景</x:v>
      </x:c>
      <x:c r="F4" s="46" t="str">
        <x:v>准备材料</x:v>
      </x:c>
      <x:c r="G4" s="46" t="str">
        <x:v>完成进度</x:v>
      </x:c>
      <x:c r="H4" s="46" t="str">
        <x:v>写作状态</x:v>
      </x:c>
      <x:c r="I4" s="46" t="str">
        <x:v>自评/75</x:v>
      </x:c>
    </x:row>
    <x:row r="5" ht="70" customHeight="1">
      <x:c r="A5" s="54" t="str">
        <x:v>E01</x:v>
      </x:c>
      <x:c r="B5" s="54" t="str">
        <x:v>需求分析/业务流程重构</x:v>
      </x:c>
      <x:c r="C5" s="54" t="str">
        <x:v>A</x:v>
      </x:c>
      <x:c r="D5" s="54" t="str">
        <x:v>需求来源→利益相关方→冲突协调→模型/追踪→变更控制→验收</x:v>
      </x:c>
      <x:c r="E5" s="54" t="str">
        <x:v>场景：CRM线索分配规则多角色冲突；重点：访谈、原型、DFD/UML、SRS、验收指标</x:v>
      </x:c>
      <x:c r="F5" s="54" t="str">
        <x:v>准备1份需求清单及2次需求变更的真实处理记录</x:v>
      </x:c>
      <x:c r="G5" s="58" t="str">
        <x:v>未写</x:v>
      </x:c>
      <x:c r="H5" s="58" t="str">
        <x:v>未开始</x:v>
      </x:c>
      <x:c r="I5" s="58"/>
    </x:row>
    <x:row r="6" ht="70" customHeight="1">
      <x:c r="A6" s="54" t="str">
        <x:v>E02</x:v>
      </x:c>
      <x:c r="B6" s="54" t="str">
        <x:v>软件架构风格与选择</x:v>
      </x:c>
      <x:c r="C6" s="54" t="str">
        <x:v>A</x:v>
      </x:c>
      <x:c r="D6" s="54" t="str">
        <x:v>质量属性场景→候选架构（分层、事件、微服务）→权衡→落地→验证</x:v>
      </x:c>
      <x:c r="E6" s="54" t="str">
        <x:v>场景：高并发线索接收；写清选型理由、耦合、一致性、容量与监控</x:v>
      </x:c>
      <x:c r="F6" s="54" t="str">
        <x:v>准备“为什么不是单体/纯同步”的技术对照</x:v>
      </x:c>
      <x:c r="G6" s="58" t="str">
        <x:v>未写</x:v>
      </x:c>
      <x:c r="H6" s="58" t="str">
        <x:v>未开始</x:v>
      </x:c>
      <x:c r="I6" s="58"/>
    </x:row>
    <x:row r="7" ht="70" customHeight="1">
      <x:c r="A7" s="54" t="str">
        <x:v>E03</x:v>
      </x:c>
      <x:c r="B7" s="54" t="str">
        <x:v>自动化测试与LLM辅助测试</x:v>
      </x:c>
      <x:c r="C7" s="54" t="str">
        <x:v>A</x:v>
      </x:c>
      <x:c r="D7" s="54" t="str">
        <x:v>测试目标→需求追踪→分层策略→自动化/LLM用例→覆盖评估→缺陷闭环</x:v>
      </x:c>
      <x:c r="E7" s="54" t="str">
        <x:v>场景：复杂业务规则自动生成用例并人工复核；兼顾误报、幻觉、隐私</x:v>
      </x:c>
      <x:c r="F7" s="54" t="str">
        <x:v>准备3类具体测试数据和1组前后指标</x:v>
      </x:c>
      <x:c r="G7" s="58" t="str">
        <x:v>未写</x:v>
      </x:c>
      <x:c r="H7" s="58" t="str">
        <x:v>未开始</x:v>
      </x:c>
      <x:c r="I7" s="58"/>
    </x:row>
    <x:row r="8" ht="70" customHeight="1">
      <x:c r="A8" s="54" t="str">
        <x:v>E04</x:v>
      </x:c>
      <x:c r="B8" s="54" t="str">
        <x:v>数据安全与业务连续性</x:v>
      </x:c>
      <x:c r="C8" s="54" t="str">
        <x:v>A</x:v>
      </x:c>
      <x:c r="D8" s="54" t="str">
        <x:v>分类分级→威胁建模→身份和授权→加密审计→RPO/RTO→演练复盘</x:v>
      </x:c>
      <x:c r="E8" s="54" t="str">
        <x:v>场景：多租户CRM防越权和灾备；强调服务端租户校验与演练结果</x:v>
      </x:c>
      <x:c r="F8" s="54" t="str">
        <x:v>准备权限模型、告警与演练复盘证据</x:v>
      </x:c>
      <x:c r="G8" s="58" t="str">
        <x:v>未写</x:v>
      </x:c>
      <x:c r="H8" s="58" t="str">
        <x:v>未开始</x:v>
      </x:c>
      <x:c r="I8" s="58"/>
    </x:row>
    <x:row r="9" ht="70" customHeight="1">
      <x:c r="A9" s="54" t="str">
        <x:v>E05</x:v>
      </x:c>
      <x:c r="B9" s="54" t="str">
        <x:v>数据建模/数据迁移</x:v>
      </x:c>
      <x:c r="C9" s="54" t="str">
        <x:v>B</x:v>
      </x:c>
      <x:c r="D9" s="54" t="str">
        <x:v>业务对象→ER/范式→索引事务→迁移清洗→对账回退→性能验证</x:v>
      </x:c>
      <x:c r="E9" s="54" t="str">
        <x:v>场景：多个获客渠道数据归一后进入CRM，避免主数据冲突</x:v>
      </x:c>
      <x:c r="F9" s="54" t="str">
        <x:v>准备ER结构和实际迁移中的一个缺陷案例</x:v>
      </x:c>
      <x:c r="G9" s="58" t="str">
        <x:v>未写</x:v>
      </x:c>
      <x:c r="H9" s="58" t="str">
        <x:v>未开始</x:v>
      </x:c>
      <x:c r="I9" s="58"/>
    </x:row>
    <x:row r="10" ht="70" customHeight="1">
      <x:c r="A10" s="54" t="str">
        <x:v>E06</x:v>
      </x:c>
      <x:c r="B10" s="54" t="str">
        <x:v>微服务/高可用与分布式架构</x:v>
      </x:c>
      <x:c r="C10" s="54" t="str">
        <x:v>A</x:v>
      </x:c>
      <x:c r="D10" s="54" t="str">
        <x:v>SLA与负载目标→服务划分→队列幂等→缓存一致性→限流熔断→压测演练</x:v>
      </x:c>
      <x:c r="E10" s="54" t="str">
        <x:v>场景：活动期间线索流量突增；性能和一致性取舍要讲具体</x:v>
      </x:c>
      <x:c r="F10" s="54" t="str">
        <x:v>准备1条全链路以及重试去重的例子</x:v>
      </x:c>
      <x:c r="G10" s="58" t="str">
        <x:v>未写</x:v>
      </x:c>
      <x:c r="H10" s="58" t="str">
        <x:v>未开始</x:v>
      </x:c>
      <x:c r="I10" s="58"/>
    </x:row>
    <x:row r="11" ht="70" customHeight="1">
      <x:c r="A11" s="54" t="str">
        <x:v>E07</x:v>
      </x:c>
      <x:c r="B11" s="54" t="str">
        <x:v>DevOps/持续交付与可观测性</x:v>
      </x:c>
      <x:c r="C11" s="54" t="str">
        <x:v>B</x:v>
      </x:c>
      <x:c r="D11" s="54" t="str">
        <x:v>构建→测试→安全扫描→灰度→监测→回滚→改进</x:v>
      </x:c>
      <x:c r="E11" s="54" t="str">
        <x:v>场景：线上频繁迭代获客规则，利用CI/CD与灰度降低上线风险</x:v>
      </x:c>
      <x:c r="F11" s="54" t="str">
        <x:v>准备流水线阶段和两个实际可监控指标</x:v>
      </x:c>
      <x:c r="G11" s="58" t="str">
        <x:v>未写</x:v>
      </x:c>
      <x:c r="H11" s="58" t="str">
        <x:v>未开始</x:v>
      </x:c>
      <x:c r="I11" s="58"/>
    </x:row>
    <x:row r="12" ht="70" customHeight="1">
      <x:c r="A12" s="54" t="str">
        <x:v>E08</x:v>
      </x:c>
      <x:c r="B12" s="54" t="str">
        <x:v>成本效益分析与系统规划</x:v>
      </x:c>
      <x:c r="C12" s="54" t="str">
        <x:v>B</x:v>
      </x:c>
      <x:c r="D12" s="54" t="str">
        <x:v>业务目标→备选方案→成本收益→NPV/风险EMV→敏感性→实施回顾</x:v>
      </x:c>
      <x:c r="E12" s="54" t="str">
        <x:v>场景：自研AI模型与调用第三方API两种方案成本比较</x:v>
      </x:c>
      <x:c r="F12" s="54" t="str">
        <x:v>准备现金流假设，不能编造收益数据</x:v>
      </x:c>
      <x:c r="G12" s="58" t="str">
        <x:v>未写</x:v>
      </x:c>
      <x:c r="H12" s="58" t="str">
        <x:v>未开始</x:v>
      </x:c>
      <x:c r="I12" s="58"/>
    </x:row>
    <x:row r="13" ht="70" customHeight="1">
      <x:c r="A13" s="54" t="str">
        <x:v>E09</x:v>
      </x:c>
      <x:c r="B13" s="54" t="str">
        <x:v>设计模式在系统中的应用</x:v>
      </x:c>
      <x:c r="C13" s="54" t="str">
        <x:v>B</x:v>
      </x:c>
      <x:c r="D13" s="54" t="str">
        <x:v>痛点→识别变化点→模式比较→关键类与依赖→测试→优缺点</x:v>
      </x:c>
      <x:c r="E13" s="54" t="str">
        <x:v>场景：多渠道适配器、策略式线索分派、观察者触发跟进提醒</x:v>
      </x:c>
      <x:c r="F13" s="54" t="str">
        <x:v>准备3个模式及应用前后可验证差异</x:v>
      </x:c>
      <x:c r="G13" s="58" t="str">
        <x:v>未写</x:v>
      </x:c>
      <x:c r="H13" s="58" t="str">
        <x:v>未开始</x:v>
      </x:c>
      <x:c r="I13" s="58"/>
    </x:row>
    <x:row r="14" ht="70" customHeight="1">
      <x:c r="A14" s="54" t="str">
        <x:v>E10</x:v>
      </x:c>
      <x:c r="B14" s="54" t="str">
        <x:v>企业信息系统集成与AI Agent</x:v>
      </x:c>
      <x:c r="C14" s="54" t="str">
        <x:v>B</x:v>
      </x:c>
      <x:c r="D14" s="54" t="str">
        <x:v>业务集成边界→接口契约→检索/工具授权→审计→准确性评估→降级</x:v>
      </x:c>
      <x:c r="E14" s="54" t="str">
        <x:v>场景：AI智能体读取知识库并调用CRM工具，强调业务权限与安全门槛</x:v>
      </x:c>
      <x:c r="F14" s="54" t="str">
        <x:v>准备Agent调用链和人工审批设计</x:v>
      </x:c>
      <x:c r="G14" s="58" t="str">
        <x:v>未写</x:v>
      </x:c>
      <x:c r="H14" s="58" t="str">
        <x:v>未开始</x:v>
      </x:c>
      <x:c r="I14" s="58"/>
    </x:row>
  </x:sheetData>
  <x:mergeCells>
    <x:mergeCell ref="A1:I1"/>
    <x:mergeCell ref="A2:I2"/>
  </x:mergeCells>
  <x:dataValidations count="2">
    <x:dataValidation type="list" sqref="H5:H14">
      <x:formula1>"未开始,构思中,已完成"</x:formula1>
    </x:dataValidation>
    <x:dataValidation type="list" sqref="G5:G14">
      <x:formula1>"未写,提纲,部分,全文"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44" hidden="0" customWidth="1"/>
    <x:col min="3" max="3" width="25" hidden="0" customWidth="1"/>
    <x:col min="4" max="4" width="95" hidden="0" customWidth="1"/>
    <x:col min="5" max="5" width="105" hidden="0" customWidth="1"/>
  </x:cols>
  <x:sheetData>
    <x:row r="1" ht="34" customHeight="1">
      <x:c r="A1" s="4" t="str">
        <x:v>资料来源｜核实渠道</x:v>
      </x:c>
      <x:c r="B1" s="4"/>
      <x:c r="C1" s="4"/>
      <x:c r="D1" s="4"/>
      <x:c r="E1" s="4"/>
    </x:row>
    <x:row r="2" ht="25" customHeight="1">
      <x:c r="A2" s="11" t="str">
        <x:v>优先查官方考试安排与新版大纲；网络“历年真题”多为回忆版，需自行核对错误</x:v>
      </x:c>
      <x:c r="B2" s="11"/>
      <x:c r="C2" s="11"/>
      <x:c r="D2" s="11"/>
      <x:c r="E2" s="11"/>
    </x:row>
    <x:row r="3">
      <x:c r="A3" t="str"/>
    </x:row>
    <x:row r="4" ht="29" customHeight="1">
      <x:c r="A4" s="46" t="str">
        <x:v>优先级</x:v>
      </x:c>
      <x:c r="B4" s="46" t="str">
        <x:v>资料名称</x:v>
      </x:c>
      <x:c r="C4" s="46" t="str">
        <x:v>来源类别</x:v>
      </x:c>
      <x:c r="D4" s="46" t="str">
        <x:v>原网址</x:v>
      </x:c>
      <x:c r="E4" s="46" t="str">
        <x:v>用途/真实性提醒</x:v>
      </x:c>
    </x:row>
    <x:row r="5" ht="49" customHeight="1">
      <x:c r="A5" s="54" t="str">
        <x:v>最高</x:v>
      </x:c>
      <x:c r="B5" s="54" t="str">
        <x:v>上海市2026下半年正式考务通知</x:v>
      </x:c>
      <x:c r="C5" s="54" t="str">
        <x:v>官方</x:v>
      </x:c>
      <x:c r="D5" s="54" t="str">
        <x:v>https://rsj.sh.gov.cn/tkwap_17826/20260811/t0035_1443017.html</x:v>
      </x:c>
      <x:c r="E5" s="54" t="str">
        <x:v>考试日期、打印准考证、机考、三科合格规则</x:v>
      </x:c>
    </x:row>
    <x:row r="6" ht="49" customHeight="1">
      <x:c r="A6" s="54" t="str">
        <x:v>最高</x:v>
      </x:c>
      <x:c r="B6" s="54" t="str">
        <x:v>中国计算机技术职业资格网</x:v>
      </x:c>
      <x:c r="C6" s="54" t="str">
        <x:v>考试官方网站</x:v>
      </x:c>
      <x:c r="D6" s="54" t="str">
        <x:v>https://www.ruankao.org.cn/</x:v>
      </x:c>
      <x:c r="E6" s="54" t="str">
        <x:v>报名、准考证、官方考试用书和公告</x:v>
      </x:c>
    </x:row>
    <x:row r="7" ht="49" customHeight="1">
      <x:c r="A7" s="54" t="str">
        <x:v>最高</x:v>
      </x:c>
      <x:c r="B7" s="54" t="str">
        <x:v>系统分析师考试大纲（2024版）</x:v>
      </x:c>
      <x:c r="C7" s="54" t="str">
        <x:v>清华大学出版社</x:v>
      </x:c>
      <x:c r="D7" s="54" t="str">
        <x:v>https://www.tup.tsinghua.edu.cn/bookscenter/book_09190201.html</x:v>
      </x:c>
      <x:c r="E7" s="54" t="str">
        <x:v>新版大纲的版权、版本和考试范围</x:v>
      </x:c>
    </x:row>
    <x:row r="8" ht="49" customHeight="1">
      <x:c r="A8" s="54" t="str">
        <x:v>高</x:v>
      </x:c>
      <x:c r="B8" s="54" t="str">
        <x:v>系统分析师教程第2版</x:v>
      </x:c>
      <x:c r="C8" s="54" t="str">
        <x:v>清华大学出版社</x:v>
      </x:c>
      <x:c r="D8" s="54" t="str">
        <x:v>https://www.tup.tsinghua.edu.cn/booksCenter/book_09190501.html</x:v>
      </x:c>
      <x:c r="E8" s="54" t="str">
        <x:v>22章新版参考教程，按需查漏，不要求7天通读</x:v>
      </x:c>
    </x:row>
    <x:row r="9" ht="49" customHeight="1">
      <x:c r="A9" s="54" t="str">
        <x:v>高</x:v>
      </x:c>
      <x:c r="B9" s="54" t="str">
        <x:v>2026下半年系统分析师考试介绍</x:v>
      </x:c>
      <x:c r="C9" s="54" t="str">
        <x:v>希赛第三方</x:v>
      </x:c>
      <x:c r="D9" s="54" t="str">
        <x:v>https://www.educity.cn/rk/5529723.html</x:v>
      </x:c>
      <x:c r="E9" s="54" t="str">
        <x:v>题量、选做规则、考试领域（以准考证及官方最新要求为准）</x:v>
      </x:c>
    </x:row>
    <x:row r="10" ht="49" customHeight="1">
      <x:c r="A10" s="54" t="str">
        <x:v>高</x:v>
      </x:c>
      <x:c r="B10" s="54" t="str">
        <x:v>2026年5月系统分析师案例回忆版</x:v>
      </x:c>
      <x:c r="C10" s="54" t="str">
        <x:v>希赛第三方</x:v>
      </x:c>
      <x:c r="D10" s="54" t="str">
        <x:v>https://www.educity.cn/rk/5523030.html</x:v>
      </x:c>
      <x:c r="E10" s="54" t="str">
        <x:v>研究新版命题场景，非官方完整试卷</x:v>
      </x:c>
    </x:row>
    <x:row r="11" ht="49" customHeight="1">
      <x:c r="A11" s="54" t="str">
        <x:v>高</x:v>
      </x:c>
      <x:c r="B11" s="54" t="str">
        <x:v>2026年5月系统分析师论文回忆版</x:v>
      </x:c>
      <x:c r="C11" s="54" t="str">
        <x:v>希赛第三方</x:v>
      </x:c>
      <x:c r="D11" s="54" t="str">
        <x:v>https://www.educity.cn/rk/5523031.html</x:v>
      </x:c>
      <x:c r="E11" s="54" t="str">
        <x:v>近次论文主题方向，非官方原卷</x:v>
      </x:c>
    </x:row>
    <x:row r="12" ht="49" customHeight="1">
      <x:c r="A12" s="54" t="str">
        <x:v>高</x:v>
      </x:c>
      <x:c r="B12" s="54" t="str">
        <x:v>2026年5月系统分析师综合回忆版</x:v>
      </x:c>
      <x:c r="C12" s="54" t="str">
        <x:v>希赛第三方</x:v>
      </x:c>
      <x:c r="D12" s="54" t="str">
        <x:v>https://www.educity.cn/rk/5523029.html</x:v>
      </x:c>
      <x:c r="E12" s="54" t="str">
        <x:v>用来查缺补漏，回忆版答案可能有误</x:v>
      </x:c>
    </x:row>
    <x:row r="13" ht="49" customHeight="1">
      <x:c r="A13" s="54" t="str">
        <x:v>中</x:v>
      </x:c>
      <x:c r="B13" s="54" t="str">
        <x:v>历年真题列表</x:v>
      </x:c>
      <x:c r="C13" s="54" t="str">
        <x:v>51CTO题库</x:v>
      </x:c>
      <x:c r="D13" s="54" t="str">
        <x:v>https://t.51cto.com/list/years/sub-241</x:v>
      </x:c>
      <x:c r="E13" s="54" t="str">
        <x:v>2024—2026题目索引；部分内容可能需要登录/付费</x:v>
      </x:c>
    </x:row>
    <x:row r="14" ht="49" customHeight="1">
      <x:c r="A14" s="54" t="str">
        <x:v>中</x:v>
      </x:c>
      <x:c r="B14" s="54" t="str">
        <x:v>系统分析师历年题库</x:v>
      </x:c>
      <x:c r="C14" s="54" t="str">
        <x:v>软题库</x:v>
      </x:c>
      <x:c r="D14" s="54" t="str">
        <x:v>https://www.ruantiku.com/course/5.html</x:v>
      </x:c>
      <x:c r="E14" s="54" t="str">
        <x:v>章节题、历年题入口；优先近两年新版大纲</x:v>
      </x:c>
    </x:row>
    <x:row r="15" ht="49" customHeight="1">
      <x:c r="A15" s="54" t="str">
        <x:v>中</x:v>
      </x:c>
      <x:c r="B15" s="54" t="str">
        <x:v>系统分析师题库与学习资料</x:v>
      </x:c>
      <x:c r="C15" s="54" t="str">
        <x:v>希赛</x:v>
      </x:c>
      <x:c r="D15" s="54" t="str">
        <x:v>https://www.educity.cn/rk/rjsp/index.html</x:v>
      </x:c>
      <x:c r="E15" s="54" t="str">
        <x:v>近期模考和回忆真题，注意商业推广</x:v>
      </x:c>
    </x:row>
  </x:sheetData>
  <x:mergeCells>
    <x:mergeCell ref="A1:E1"/>
    <x:mergeCell ref="A2:E2"/>
  </x:mergeCells>
  <x:pageMargins left="0.7" right="0.7" top="0.75" bottom="0.75" header="0.3" footer="0.3"/>
</x:worksheet>
</file>